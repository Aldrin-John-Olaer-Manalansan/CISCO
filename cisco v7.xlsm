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esktop\CISCO\"/>
    </mc:Choice>
  </mc:AlternateContent>
  <xr:revisionPtr revIDLastSave="0" documentId="13_ncr:1_{769729F2-5197-49DD-82DD-DEC06611733C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CISCO IP Master" sheetId="1" r:id="rId1"/>
    <sheet name="CISCO CLI Master" sheetId="3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6" i="1" l="1"/>
  <c r="AF6" i="1"/>
  <c r="AG6" i="1"/>
  <c r="AH6" i="1"/>
  <c r="AE7" i="1"/>
  <c r="AF7" i="1"/>
  <c r="AG7" i="1"/>
  <c r="AH7" i="1"/>
  <c r="AE8" i="1"/>
  <c r="AF8" i="1"/>
  <c r="AG8" i="1"/>
  <c r="AH8" i="1"/>
  <c r="AE9" i="1"/>
  <c r="AF9" i="1"/>
  <c r="AG9" i="1"/>
  <c r="AH9" i="1"/>
  <c r="AE10" i="1"/>
  <c r="AF10" i="1"/>
  <c r="AG10" i="1"/>
  <c r="AH10" i="1"/>
  <c r="AE11" i="1"/>
  <c r="AF11" i="1"/>
  <c r="AG11" i="1"/>
  <c r="AH11" i="1"/>
  <c r="AE12" i="1"/>
  <c r="AF12" i="1"/>
  <c r="AG12" i="1"/>
  <c r="AH12" i="1"/>
  <c r="AE13" i="1"/>
  <c r="AF13" i="1"/>
  <c r="AG13" i="1"/>
  <c r="AH13" i="1"/>
  <c r="AE14" i="1"/>
  <c r="AF14" i="1"/>
  <c r="AG14" i="1"/>
  <c r="AH14" i="1"/>
  <c r="AE15" i="1"/>
  <c r="AF15" i="1"/>
  <c r="AG15" i="1"/>
  <c r="AH15" i="1"/>
  <c r="AE16" i="1"/>
  <c r="AF16" i="1"/>
  <c r="AG16" i="1"/>
  <c r="AH16" i="1"/>
  <c r="AE17" i="1"/>
  <c r="AF17" i="1"/>
  <c r="AG17" i="1"/>
  <c r="AH17" i="1"/>
  <c r="AE18" i="1"/>
  <c r="AF18" i="1"/>
  <c r="AG18" i="1"/>
  <c r="AH18" i="1"/>
  <c r="AE19" i="1"/>
  <c r="AF19" i="1"/>
  <c r="AG19" i="1"/>
  <c r="AH19" i="1"/>
  <c r="AE20" i="1"/>
  <c r="AF20" i="1"/>
  <c r="AG20" i="1"/>
  <c r="AH20" i="1"/>
  <c r="AE21" i="1"/>
  <c r="AF21" i="1"/>
  <c r="AG21" i="1"/>
  <c r="AH21" i="1"/>
  <c r="AE22" i="1"/>
  <c r="AF22" i="1"/>
  <c r="AG22" i="1"/>
  <c r="AH22" i="1"/>
  <c r="AE23" i="1"/>
  <c r="AF23" i="1"/>
  <c r="AG23" i="1"/>
  <c r="AH23" i="1"/>
  <c r="AE24" i="1"/>
  <c r="AF24" i="1"/>
  <c r="AG24" i="1"/>
  <c r="AH24" i="1"/>
  <c r="AE25" i="1"/>
  <c r="AF25" i="1"/>
  <c r="AG25" i="1"/>
  <c r="AH25" i="1"/>
  <c r="AE26" i="1"/>
  <c r="AF26" i="1"/>
  <c r="AG26" i="1"/>
  <c r="AH26" i="1"/>
  <c r="AE27" i="1"/>
  <c r="AF27" i="1"/>
  <c r="AG27" i="1"/>
  <c r="AH27" i="1"/>
  <c r="AE28" i="1"/>
  <c r="AF28" i="1"/>
  <c r="AG28" i="1"/>
  <c r="AH28" i="1"/>
  <c r="AE29" i="1"/>
  <c r="AF29" i="1"/>
  <c r="AG29" i="1"/>
  <c r="AH29" i="1"/>
  <c r="AE30" i="1"/>
  <c r="AF30" i="1"/>
  <c r="AG30" i="1"/>
  <c r="AH30" i="1"/>
  <c r="AE31" i="1"/>
  <c r="AF31" i="1"/>
  <c r="AG31" i="1"/>
  <c r="AH31" i="1"/>
  <c r="AE32" i="1"/>
  <c r="AF32" i="1"/>
  <c r="AG32" i="1"/>
  <c r="AH32" i="1"/>
  <c r="AE33" i="1"/>
  <c r="AF33" i="1"/>
  <c r="AG33" i="1"/>
  <c r="AH33" i="1"/>
  <c r="AE34" i="1"/>
  <c r="AF34" i="1"/>
  <c r="AG34" i="1"/>
  <c r="AH34" i="1"/>
  <c r="AE35" i="1"/>
  <c r="AF35" i="1"/>
  <c r="AG35" i="1"/>
  <c r="AH35" i="1"/>
  <c r="AE36" i="1"/>
  <c r="AF36" i="1"/>
  <c r="AG36" i="1"/>
  <c r="AH36" i="1"/>
  <c r="AE37" i="1"/>
  <c r="AF37" i="1"/>
  <c r="AG37" i="1"/>
  <c r="AH37" i="1"/>
  <c r="AE38" i="1"/>
  <c r="AF38" i="1"/>
  <c r="AG38" i="1"/>
  <c r="AH38" i="1"/>
  <c r="AE39" i="1"/>
  <c r="AF39" i="1"/>
  <c r="AG39" i="1"/>
  <c r="AH39" i="1"/>
  <c r="AE40" i="1"/>
  <c r="AF40" i="1"/>
  <c r="AG40" i="1"/>
  <c r="AH40" i="1"/>
  <c r="AE41" i="1"/>
  <c r="AF41" i="1"/>
  <c r="AG41" i="1"/>
  <c r="AH41" i="1"/>
  <c r="AE42" i="1"/>
  <c r="AF42" i="1"/>
  <c r="AG42" i="1"/>
  <c r="AH42" i="1"/>
  <c r="AE43" i="1"/>
  <c r="AF43" i="1"/>
  <c r="AG43" i="1"/>
  <c r="AH43" i="1"/>
  <c r="AE44" i="1"/>
  <c r="AF44" i="1"/>
  <c r="AG44" i="1"/>
  <c r="AH44" i="1"/>
  <c r="AE45" i="1"/>
  <c r="AF45" i="1"/>
  <c r="AG45" i="1"/>
  <c r="AH45" i="1"/>
  <c r="AE46" i="1"/>
  <c r="AF46" i="1"/>
  <c r="AG46" i="1"/>
  <c r="AH46" i="1"/>
  <c r="AE47" i="1"/>
  <c r="AF47" i="1"/>
  <c r="AG47" i="1"/>
  <c r="AH47" i="1"/>
  <c r="AE48" i="1"/>
  <c r="AF48" i="1"/>
  <c r="AG48" i="1"/>
  <c r="AH48" i="1"/>
  <c r="AE49" i="1"/>
  <c r="AF49" i="1"/>
  <c r="AG49" i="1"/>
  <c r="AH49" i="1"/>
  <c r="AE50" i="1"/>
  <c r="AF50" i="1"/>
  <c r="AG50" i="1"/>
  <c r="AH50" i="1"/>
  <c r="AE51" i="1"/>
  <c r="AF51" i="1"/>
  <c r="AG51" i="1"/>
  <c r="AH51" i="1"/>
  <c r="AE52" i="1"/>
  <c r="AF52" i="1"/>
  <c r="AG52" i="1"/>
  <c r="AH52" i="1"/>
  <c r="AE53" i="1"/>
  <c r="AF53" i="1"/>
  <c r="AG53" i="1"/>
  <c r="AH53" i="1"/>
  <c r="AE54" i="1"/>
  <c r="AF54" i="1"/>
  <c r="AG54" i="1"/>
  <c r="AH54" i="1"/>
  <c r="AE55" i="1"/>
  <c r="AF55" i="1"/>
  <c r="AG55" i="1"/>
  <c r="AH55" i="1"/>
  <c r="AE56" i="1"/>
  <c r="AF56" i="1"/>
  <c r="AG56" i="1"/>
  <c r="AH56" i="1"/>
  <c r="AE57" i="1"/>
  <c r="AF57" i="1"/>
  <c r="AG57" i="1"/>
  <c r="AH57" i="1"/>
  <c r="AE58" i="1"/>
  <c r="AF58" i="1"/>
  <c r="AG58" i="1"/>
  <c r="AH58" i="1"/>
  <c r="AE59" i="1"/>
  <c r="AF59" i="1"/>
  <c r="AG59" i="1"/>
  <c r="AH59" i="1"/>
  <c r="AE60" i="1"/>
  <c r="AF60" i="1"/>
  <c r="AG60" i="1"/>
  <c r="AH60" i="1"/>
  <c r="AE61" i="1"/>
  <c r="AF61" i="1"/>
  <c r="AG61" i="1"/>
  <c r="AH61" i="1"/>
  <c r="AE62" i="1"/>
  <c r="AF62" i="1"/>
  <c r="AG62" i="1"/>
  <c r="AH62" i="1"/>
  <c r="AE63" i="1"/>
  <c r="AF63" i="1"/>
  <c r="AG63" i="1"/>
  <c r="AH63" i="1"/>
  <c r="AE64" i="1"/>
  <c r="AF64" i="1"/>
  <c r="AG64" i="1"/>
  <c r="AH64" i="1"/>
  <c r="AE65" i="1"/>
  <c r="AF65" i="1"/>
  <c r="AG65" i="1"/>
  <c r="AH65" i="1"/>
  <c r="AE66" i="1"/>
  <c r="AF66" i="1"/>
  <c r="AG66" i="1"/>
  <c r="AH66" i="1"/>
  <c r="AE67" i="1"/>
  <c r="AF67" i="1"/>
  <c r="AG67" i="1"/>
  <c r="AH67" i="1"/>
  <c r="AE68" i="1"/>
  <c r="AF68" i="1"/>
  <c r="AG68" i="1"/>
  <c r="AH68" i="1"/>
  <c r="AE69" i="1"/>
  <c r="AF69" i="1"/>
  <c r="AG69" i="1"/>
  <c r="AH69" i="1"/>
  <c r="AE70" i="1"/>
  <c r="AF70" i="1"/>
  <c r="AG70" i="1"/>
  <c r="AH70" i="1"/>
  <c r="AE71" i="1"/>
  <c r="AF71" i="1"/>
  <c r="AG71" i="1"/>
  <c r="AH71" i="1"/>
  <c r="AE72" i="1"/>
  <c r="AF72" i="1"/>
  <c r="AG72" i="1"/>
  <c r="AH72" i="1"/>
  <c r="AE73" i="1"/>
  <c r="AF73" i="1"/>
  <c r="AG73" i="1"/>
  <c r="AH73" i="1"/>
  <c r="AE74" i="1"/>
  <c r="AF74" i="1"/>
  <c r="AG74" i="1"/>
  <c r="AH74" i="1"/>
  <c r="AE75" i="1"/>
  <c r="AF75" i="1"/>
  <c r="AG75" i="1"/>
  <c r="AH75" i="1"/>
  <c r="AE76" i="1"/>
  <c r="AF76" i="1"/>
  <c r="AG76" i="1"/>
  <c r="AH76" i="1"/>
  <c r="AE77" i="1"/>
  <c r="AF77" i="1"/>
  <c r="AG77" i="1"/>
  <c r="AH77" i="1"/>
  <c r="AE78" i="1"/>
  <c r="AF78" i="1"/>
  <c r="AG78" i="1"/>
  <c r="AH78" i="1"/>
  <c r="AE79" i="1"/>
  <c r="AF79" i="1"/>
  <c r="AG79" i="1"/>
  <c r="AH79" i="1"/>
  <c r="AE80" i="1"/>
  <c r="AF80" i="1"/>
  <c r="AG80" i="1"/>
  <c r="AH80" i="1"/>
  <c r="AE81" i="1"/>
  <c r="AF81" i="1"/>
  <c r="AG81" i="1"/>
  <c r="AH81" i="1"/>
  <c r="AE82" i="1"/>
  <c r="AF82" i="1"/>
  <c r="AG82" i="1"/>
  <c r="AH82" i="1"/>
  <c r="AE83" i="1"/>
  <c r="AF83" i="1"/>
  <c r="AG83" i="1"/>
  <c r="AH83" i="1"/>
  <c r="AE84" i="1"/>
  <c r="AF84" i="1"/>
  <c r="AG84" i="1"/>
  <c r="AH84" i="1"/>
  <c r="AE85" i="1"/>
  <c r="AF85" i="1"/>
  <c r="AG85" i="1"/>
  <c r="AH85" i="1"/>
  <c r="AE86" i="1"/>
  <c r="AF86" i="1"/>
  <c r="AG86" i="1"/>
  <c r="AH86" i="1"/>
  <c r="AE87" i="1"/>
  <c r="AF87" i="1"/>
  <c r="AG87" i="1"/>
  <c r="AH87" i="1"/>
  <c r="AE88" i="1"/>
  <c r="AF88" i="1"/>
  <c r="AG88" i="1"/>
  <c r="AH88" i="1"/>
  <c r="AE89" i="1"/>
  <c r="AF89" i="1"/>
  <c r="AG89" i="1"/>
  <c r="AH89" i="1"/>
  <c r="AE90" i="1"/>
  <c r="AF90" i="1"/>
  <c r="AG90" i="1"/>
  <c r="AH90" i="1"/>
  <c r="AE91" i="1"/>
  <c r="AF91" i="1"/>
  <c r="AG91" i="1"/>
  <c r="AH91" i="1"/>
  <c r="AE92" i="1"/>
  <c r="AF92" i="1"/>
  <c r="AG92" i="1"/>
  <c r="AH92" i="1"/>
  <c r="AE93" i="1"/>
  <c r="AF93" i="1"/>
  <c r="AG93" i="1"/>
  <c r="AH93" i="1"/>
  <c r="AE94" i="1"/>
  <c r="AF94" i="1"/>
  <c r="AG94" i="1"/>
  <c r="AH94" i="1"/>
  <c r="AE95" i="1"/>
  <c r="AF95" i="1"/>
  <c r="AG95" i="1"/>
  <c r="AH95" i="1"/>
  <c r="AE96" i="1"/>
  <c r="AF96" i="1"/>
  <c r="AG96" i="1"/>
  <c r="AH96" i="1"/>
  <c r="AE97" i="1"/>
  <c r="AF97" i="1"/>
  <c r="AG97" i="1"/>
  <c r="AH97" i="1"/>
  <c r="AE98" i="1"/>
  <c r="AF98" i="1"/>
  <c r="AG98" i="1"/>
  <c r="AH98" i="1"/>
  <c r="AE99" i="1"/>
  <c r="AF99" i="1"/>
  <c r="AG99" i="1"/>
  <c r="AH99" i="1"/>
  <c r="AE100" i="1"/>
  <c r="AF100" i="1"/>
  <c r="AG100" i="1"/>
  <c r="AH100" i="1"/>
  <c r="AE101" i="1"/>
  <c r="AF101" i="1"/>
  <c r="AG101" i="1"/>
  <c r="AH101" i="1"/>
  <c r="AE102" i="1"/>
  <c r="AF102" i="1"/>
  <c r="AG102" i="1"/>
  <c r="AH102" i="1"/>
  <c r="AE103" i="1"/>
  <c r="AF103" i="1"/>
  <c r="AG103" i="1"/>
  <c r="AH103" i="1"/>
  <c r="AE104" i="1"/>
  <c r="AF104" i="1"/>
  <c r="AG104" i="1"/>
  <c r="AH104" i="1"/>
  <c r="AE105" i="1"/>
  <c r="AF105" i="1"/>
  <c r="AG105" i="1"/>
  <c r="AH105" i="1"/>
  <c r="AE106" i="1"/>
  <c r="AF106" i="1"/>
  <c r="AG106" i="1"/>
  <c r="AH106" i="1"/>
  <c r="AE107" i="1"/>
  <c r="AF107" i="1"/>
  <c r="AG107" i="1"/>
  <c r="AH107" i="1"/>
  <c r="AE108" i="1"/>
  <c r="AF108" i="1"/>
  <c r="AG108" i="1"/>
  <c r="AH108" i="1"/>
  <c r="AE109" i="1"/>
  <c r="AF109" i="1"/>
  <c r="AG109" i="1"/>
  <c r="AH109" i="1"/>
  <c r="AE110" i="1"/>
  <c r="AF110" i="1"/>
  <c r="AG110" i="1"/>
  <c r="AH110" i="1"/>
  <c r="AE111" i="1"/>
  <c r="AF111" i="1"/>
  <c r="AG111" i="1"/>
  <c r="AH111" i="1"/>
  <c r="AE112" i="1"/>
  <c r="AF112" i="1"/>
  <c r="AG112" i="1"/>
  <c r="AH112" i="1"/>
  <c r="AE113" i="1"/>
  <c r="AF113" i="1"/>
  <c r="AG113" i="1"/>
  <c r="AH113" i="1"/>
  <c r="AE114" i="1"/>
  <c r="AF114" i="1"/>
  <c r="AG114" i="1"/>
  <c r="AH114" i="1"/>
  <c r="AE115" i="1"/>
  <c r="AF115" i="1"/>
  <c r="AG115" i="1"/>
  <c r="AH115" i="1"/>
  <c r="AE116" i="1"/>
  <c r="AF116" i="1"/>
  <c r="AG116" i="1"/>
  <c r="AH116" i="1"/>
  <c r="AE117" i="1"/>
  <c r="AF117" i="1"/>
  <c r="AG117" i="1"/>
  <c r="AH117" i="1"/>
  <c r="AE118" i="1"/>
  <c r="AF118" i="1"/>
  <c r="AG118" i="1"/>
  <c r="AH118" i="1"/>
  <c r="AE119" i="1"/>
  <c r="AF119" i="1"/>
  <c r="AG119" i="1"/>
  <c r="AH119" i="1"/>
  <c r="AE120" i="1"/>
  <c r="AF120" i="1"/>
  <c r="AG120" i="1"/>
  <c r="AH120" i="1"/>
  <c r="AE121" i="1"/>
  <c r="AF121" i="1"/>
  <c r="AG121" i="1"/>
  <c r="AH121" i="1"/>
  <c r="AE122" i="1"/>
  <c r="AF122" i="1"/>
  <c r="AG122" i="1"/>
  <c r="AH122" i="1"/>
  <c r="AE123" i="1"/>
  <c r="AF123" i="1"/>
  <c r="AG123" i="1"/>
  <c r="AH123" i="1"/>
  <c r="AE124" i="1"/>
  <c r="AF124" i="1"/>
  <c r="AG124" i="1"/>
  <c r="AH124" i="1"/>
  <c r="AE125" i="1"/>
  <c r="AF125" i="1"/>
  <c r="AG125" i="1"/>
  <c r="AH125" i="1"/>
  <c r="AH5" i="1"/>
  <c r="AG5" i="1"/>
  <c r="AF5" i="1"/>
  <c r="AE5" i="1"/>
  <c r="T5" i="1"/>
  <c r="R5" i="1" s="1"/>
  <c r="E5" i="1" l="1"/>
  <c r="Z3" i="1"/>
  <c r="Y3" i="1"/>
  <c r="X3" i="1"/>
  <c r="W3" i="1"/>
  <c r="W5" i="1" l="1"/>
  <c r="O5" i="1"/>
  <c r="Y5" i="1"/>
  <c r="S5" i="1"/>
  <c r="X5" i="1" s="1"/>
  <c r="Z5" i="1" l="1"/>
  <c r="AD5" i="1" s="1"/>
  <c r="AA5" i="1"/>
  <c r="AB5" i="1"/>
  <c r="K5" i="1" l="1"/>
  <c r="F5" i="1"/>
  <c r="I5" i="1"/>
  <c r="AC5" i="1"/>
  <c r="G5" i="1"/>
  <c r="T6" i="1"/>
  <c r="E6" i="1" s="1"/>
  <c r="Q5" i="1"/>
  <c r="M5" i="1"/>
  <c r="Z6" i="1" l="1"/>
  <c r="R6" i="1"/>
  <c r="S6" i="1" s="1"/>
  <c r="X6" i="1"/>
  <c r="Y6" i="1"/>
  <c r="W6" i="1"/>
  <c r="T7" i="1" l="1"/>
  <c r="R7" i="1" s="1"/>
  <c r="I6" i="1"/>
  <c r="K6" i="1"/>
  <c r="AC6" i="1"/>
  <c r="AD6" i="1"/>
  <c r="F6" i="1"/>
  <c r="AB6" i="1"/>
  <c r="G6" i="1"/>
  <c r="O6" i="1"/>
  <c r="AA6" i="1"/>
  <c r="Q6" i="1" s="1"/>
  <c r="X7" i="1" l="1"/>
  <c r="K7" i="1" s="1"/>
  <c r="E7" i="1"/>
  <c r="Y7" i="1"/>
  <c r="O7" i="1"/>
  <c r="W7" i="1"/>
  <c r="Z7" i="1"/>
  <c r="S7" i="1"/>
  <c r="I7" i="1"/>
  <c r="G7" i="1"/>
  <c r="M6" i="1"/>
  <c r="F7" i="1"/>
  <c r="AD7" i="1"/>
  <c r="AC7" i="1"/>
  <c r="AB7" i="1"/>
  <c r="AA7" i="1"/>
  <c r="T8" i="1" l="1"/>
  <c r="R8" i="1" s="1"/>
  <c r="Q7" i="1"/>
  <c r="M7" i="1"/>
  <c r="E8" i="1" l="1"/>
  <c r="X8" i="1"/>
  <c r="O8" i="1"/>
  <c r="Y8" i="1"/>
  <c r="G8" i="1"/>
  <c r="W8" i="1"/>
  <c r="I8" i="1"/>
  <c r="S8" i="1"/>
  <c r="Z8" i="1"/>
  <c r="T9" i="1" s="1"/>
  <c r="X9" i="1" s="1"/>
  <c r="K8" i="1"/>
  <c r="F8" i="1"/>
  <c r="AA8" i="1"/>
  <c r="AD8" i="1"/>
  <c r="AC8" i="1"/>
  <c r="AB8" i="1"/>
  <c r="Y9" i="1" l="1"/>
  <c r="R9" i="1"/>
  <c r="S9" i="1" s="1"/>
  <c r="W9" i="1"/>
  <c r="T10" i="1" s="1"/>
  <c r="R10" i="1" s="1"/>
  <c r="Z9" i="1"/>
  <c r="M8" i="1"/>
  <c r="Q8" i="1"/>
  <c r="O9" i="1"/>
  <c r="K9" i="1"/>
  <c r="I9" i="1"/>
  <c r="G9" i="1"/>
  <c r="E9" i="1"/>
  <c r="Z10" i="1" l="1"/>
  <c r="Y10" i="1"/>
  <c r="X10" i="1"/>
  <c r="W10" i="1"/>
  <c r="F9" i="1"/>
  <c r="S10" i="1"/>
  <c r="AA9" i="1"/>
  <c r="AD9" i="1"/>
  <c r="AC9" i="1"/>
  <c r="AB9" i="1"/>
  <c r="T11" i="1" l="1"/>
  <c r="R11" i="1" s="1"/>
  <c r="M9" i="1"/>
  <c r="Q9" i="1"/>
  <c r="O10" i="1"/>
  <c r="K10" i="1"/>
  <c r="I10" i="1"/>
  <c r="G10" i="1"/>
  <c r="E10" i="1"/>
  <c r="X11" i="1" l="1"/>
  <c r="Z11" i="1"/>
  <c r="W11" i="1"/>
  <c r="Y11" i="1"/>
  <c r="F10" i="1"/>
  <c r="AA10" i="1"/>
  <c r="AC10" i="1"/>
  <c r="AB10" i="1"/>
  <c r="AD10" i="1"/>
  <c r="T12" i="1" l="1"/>
  <c r="R12" i="1" s="1"/>
  <c r="S11" i="1"/>
  <c r="M10" i="1"/>
  <c r="Q10" i="1"/>
  <c r="O11" i="1"/>
  <c r="K11" i="1"/>
  <c r="I11" i="1"/>
  <c r="G11" i="1"/>
  <c r="E11" i="1"/>
  <c r="W12" i="1" l="1"/>
  <c r="X12" i="1"/>
  <c r="Y12" i="1"/>
  <c r="T13" i="1" s="1"/>
  <c r="R13" i="1" s="1"/>
  <c r="Z12" i="1"/>
  <c r="F11" i="1"/>
  <c r="S12" i="1"/>
  <c r="AD11" i="1"/>
  <c r="AC11" i="1"/>
  <c r="AB11" i="1"/>
  <c r="AA11" i="1"/>
  <c r="Z13" i="1" l="1"/>
  <c r="X13" i="1"/>
  <c r="Y13" i="1"/>
  <c r="W13" i="1"/>
  <c r="M11" i="1"/>
  <c r="Q11" i="1"/>
  <c r="O12" i="1"/>
  <c r="K12" i="1"/>
  <c r="I12" i="1"/>
  <c r="G12" i="1"/>
  <c r="E12" i="1"/>
  <c r="T14" i="1" l="1"/>
  <c r="R14" i="1" s="1"/>
  <c r="F12" i="1"/>
  <c r="AA12" i="1"/>
  <c r="AC12" i="1"/>
  <c r="AD12" i="1"/>
  <c r="AB12" i="1"/>
  <c r="S13" i="1" l="1"/>
  <c r="Z14" i="1"/>
  <c r="X14" i="1"/>
  <c r="Y14" i="1"/>
  <c r="W14" i="1"/>
  <c r="Q12" i="1"/>
  <c r="M12" i="1"/>
  <c r="O13" i="1"/>
  <c r="K13" i="1"/>
  <c r="I13" i="1"/>
  <c r="G13" i="1"/>
  <c r="E13" i="1"/>
  <c r="T15" i="1" l="1"/>
  <c r="R15" i="1" s="1"/>
  <c r="F13" i="1"/>
  <c r="S14" i="1"/>
  <c r="AA13" i="1"/>
  <c r="AD13" i="1"/>
  <c r="AC13" i="1"/>
  <c r="AB13" i="1"/>
  <c r="Y15" i="1" l="1"/>
  <c r="Z15" i="1"/>
  <c r="W15" i="1"/>
  <c r="T16" i="1" s="1"/>
  <c r="R16" i="1" s="1"/>
  <c r="X15" i="1"/>
  <c r="Q13" i="1"/>
  <c r="M13" i="1"/>
  <c r="O14" i="1"/>
  <c r="K14" i="1"/>
  <c r="I14" i="1"/>
  <c r="G14" i="1"/>
  <c r="E14" i="1"/>
  <c r="F14" i="1" l="1"/>
  <c r="S15" i="1"/>
  <c r="AA14" i="1"/>
  <c r="AD14" i="1"/>
  <c r="AC14" i="1"/>
  <c r="AB14" i="1"/>
  <c r="Z16" i="1" l="1"/>
  <c r="X16" i="1"/>
  <c r="Y16" i="1"/>
  <c r="W16" i="1"/>
  <c r="M14" i="1"/>
  <c r="Q14" i="1"/>
  <c r="O15" i="1"/>
  <c r="K15" i="1"/>
  <c r="I15" i="1"/>
  <c r="G15" i="1"/>
  <c r="E15" i="1"/>
  <c r="T17" i="1" l="1"/>
  <c r="R17" i="1" s="1"/>
  <c r="F15" i="1"/>
  <c r="AC15" i="1"/>
  <c r="AA15" i="1"/>
  <c r="AD15" i="1"/>
  <c r="AB15" i="1"/>
  <c r="X17" i="1" l="1"/>
  <c r="S16" i="1"/>
  <c r="Z17" i="1"/>
  <c r="Y17" i="1"/>
  <c r="W17" i="1"/>
  <c r="M15" i="1"/>
  <c r="Q15" i="1"/>
  <c r="O16" i="1"/>
  <c r="K16" i="1"/>
  <c r="I16" i="1"/>
  <c r="G16" i="1"/>
  <c r="E16" i="1"/>
  <c r="T18" i="1" l="1"/>
  <c r="R18" i="1" s="1"/>
  <c r="F16" i="1"/>
  <c r="AA16" i="1"/>
  <c r="AD16" i="1"/>
  <c r="AC16" i="1"/>
  <c r="AB16" i="1"/>
  <c r="S17" i="1" l="1"/>
  <c r="X18" i="1"/>
  <c r="W18" i="1"/>
  <c r="Z18" i="1"/>
  <c r="Y18" i="1"/>
  <c r="Q16" i="1"/>
  <c r="M16" i="1"/>
  <c r="O17" i="1"/>
  <c r="K17" i="1"/>
  <c r="E17" i="1"/>
  <c r="G17" i="1"/>
  <c r="I17" i="1"/>
  <c r="T19" i="1" l="1"/>
  <c r="R19" i="1" s="1"/>
  <c r="F17" i="1"/>
  <c r="S18" i="1"/>
  <c r="AC17" i="1"/>
  <c r="AA17" i="1"/>
  <c r="AD17" i="1"/>
  <c r="AB17" i="1"/>
  <c r="X19" i="1" l="1"/>
  <c r="Z19" i="1"/>
  <c r="Y19" i="1"/>
  <c r="W19" i="1"/>
  <c r="M17" i="1"/>
  <c r="Q17" i="1"/>
  <c r="O18" i="1"/>
  <c r="K18" i="1"/>
  <c r="I18" i="1"/>
  <c r="G18" i="1"/>
  <c r="E18" i="1"/>
  <c r="T20" i="1" l="1"/>
  <c r="F18" i="1"/>
  <c r="S19" i="1"/>
  <c r="AA18" i="1"/>
  <c r="AD18" i="1"/>
  <c r="AC18" i="1"/>
  <c r="AB18" i="1"/>
  <c r="X20" i="1" l="1"/>
  <c r="R20" i="1"/>
  <c r="Y20" i="1"/>
  <c r="W20" i="1"/>
  <c r="S20" i="1"/>
  <c r="Z20" i="1"/>
  <c r="M18" i="1"/>
  <c r="Q18" i="1"/>
  <c r="O19" i="1"/>
  <c r="K19" i="1"/>
  <c r="I19" i="1"/>
  <c r="G19" i="1"/>
  <c r="E19" i="1"/>
  <c r="T21" i="1" l="1"/>
  <c r="R21" i="1" s="1"/>
  <c r="F19" i="1"/>
  <c r="AD19" i="1"/>
  <c r="AC19" i="1"/>
  <c r="AB19" i="1"/>
  <c r="AA19" i="1"/>
  <c r="Z21" i="1" l="1"/>
  <c r="S21" i="1"/>
  <c r="Y21" i="1"/>
  <c r="W21" i="1"/>
  <c r="X21" i="1"/>
  <c r="M19" i="1"/>
  <c r="Q19" i="1"/>
  <c r="F20" i="1"/>
  <c r="O20" i="1"/>
  <c r="M20" i="1"/>
  <c r="Q20" i="1"/>
  <c r="K20" i="1"/>
  <c r="I20" i="1"/>
  <c r="E20" i="1"/>
  <c r="G20" i="1"/>
  <c r="AA20" i="1"/>
  <c r="AB20" i="1"/>
  <c r="AC20" i="1"/>
  <c r="AD20" i="1"/>
  <c r="T22" i="1" l="1"/>
  <c r="Y22" i="1" l="1"/>
  <c r="R22" i="1"/>
  <c r="W22" i="1"/>
  <c r="S22" i="1"/>
  <c r="Z22" i="1"/>
  <c r="X22" i="1"/>
  <c r="F21" i="1"/>
  <c r="Q21" i="1"/>
  <c r="O21" i="1"/>
  <c r="M21" i="1"/>
  <c r="K21" i="1"/>
  <c r="I21" i="1"/>
  <c r="E21" i="1"/>
  <c r="G21" i="1"/>
  <c r="AA21" i="1"/>
  <c r="AB21" i="1"/>
  <c r="AC21" i="1"/>
  <c r="AD21" i="1"/>
  <c r="T23" i="1" l="1"/>
  <c r="Y23" i="1" s="1"/>
  <c r="Z23" i="1" l="1"/>
  <c r="X23" i="1"/>
  <c r="S23" i="1"/>
  <c r="W23" i="1"/>
  <c r="R23" i="1"/>
  <c r="F22" i="1"/>
  <c r="Q22" i="1"/>
  <c r="O22" i="1"/>
  <c r="M22" i="1"/>
  <c r="K22" i="1"/>
  <c r="I22" i="1"/>
  <c r="G22" i="1"/>
  <c r="E22" i="1"/>
  <c r="AA22" i="1"/>
  <c r="AB22" i="1"/>
  <c r="AC22" i="1"/>
  <c r="AD22" i="1"/>
  <c r="T24" i="1" l="1"/>
  <c r="R24" i="1" s="1"/>
  <c r="Y24" i="1" l="1"/>
  <c r="S24" i="1"/>
  <c r="Z24" i="1"/>
  <c r="X24" i="1"/>
  <c r="W24" i="1"/>
  <c r="F23" i="1"/>
  <c r="Q23" i="1"/>
  <c r="O23" i="1"/>
  <c r="K23" i="1"/>
  <c r="I23" i="1"/>
  <c r="M23" i="1"/>
  <c r="G23" i="1"/>
  <c r="E23" i="1"/>
  <c r="AA23" i="1"/>
  <c r="AB23" i="1"/>
  <c r="AC23" i="1"/>
  <c r="AD23" i="1"/>
  <c r="T25" i="1" l="1"/>
  <c r="Z25" i="1" s="1"/>
  <c r="R25" i="1" l="1"/>
  <c r="Y25" i="1"/>
  <c r="S25" i="1"/>
  <c r="X25" i="1"/>
  <c r="W25" i="1"/>
  <c r="F24" i="1"/>
  <c r="O24" i="1"/>
  <c r="M24" i="1"/>
  <c r="Q24" i="1"/>
  <c r="K24" i="1"/>
  <c r="I24" i="1"/>
  <c r="G24" i="1"/>
  <c r="E24" i="1"/>
  <c r="AA24" i="1"/>
  <c r="AB24" i="1"/>
  <c r="AC24" i="1"/>
  <c r="AD24" i="1"/>
  <c r="T26" i="1" l="1"/>
  <c r="R26" i="1" s="1"/>
  <c r="W26" i="1" l="1"/>
  <c r="X26" i="1"/>
  <c r="Z26" i="1"/>
  <c r="Y26" i="1"/>
  <c r="S26" i="1"/>
  <c r="F25" i="1"/>
  <c r="Q25" i="1"/>
  <c r="O25" i="1"/>
  <c r="M25" i="1"/>
  <c r="K25" i="1"/>
  <c r="I25" i="1"/>
  <c r="G25" i="1"/>
  <c r="E25" i="1"/>
  <c r="AA25" i="1"/>
  <c r="AB25" i="1"/>
  <c r="AC25" i="1"/>
  <c r="AD25" i="1"/>
  <c r="T27" i="1" l="1"/>
  <c r="Y27" i="1" l="1"/>
  <c r="X27" i="1"/>
  <c r="S27" i="1"/>
  <c r="W27" i="1"/>
  <c r="R27" i="1"/>
  <c r="Z27" i="1"/>
  <c r="F26" i="1"/>
  <c r="Q26" i="1"/>
  <c r="O26" i="1"/>
  <c r="M26" i="1"/>
  <c r="K26" i="1"/>
  <c r="I26" i="1"/>
  <c r="G26" i="1"/>
  <c r="E26" i="1"/>
  <c r="AA26" i="1"/>
  <c r="AB26" i="1"/>
  <c r="AC26" i="1"/>
  <c r="AD26" i="1"/>
  <c r="T28" i="1" l="1"/>
  <c r="R28" i="1" s="1"/>
  <c r="W28" i="1" l="1"/>
  <c r="T29" i="1" s="1"/>
  <c r="S28" i="1"/>
  <c r="Y28" i="1"/>
  <c r="Z28" i="1"/>
  <c r="X28" i="1"/>
  <c r="F27" i="1"/>
  <c r="Q27" i="1"/>
  <c r="O27" i="1"/>
  <c r="M27" i="1"/>
  <c r="K27" i="1"/>
  <c r="I27" i="1"/>
  <c r="G27" i="1"/>
  <c r="E27" i="1"/>
  <c r="AA27" i="1"/>
  <c r="AB27" i="1"/>
  <c r="AC27" i="1"/>
  <c r="AD27" i="1"/>
  <c r="S29" i="1" l="1"/>
  <c r="W29" i="1"/>
  <c r="R29" i="1"/>
  <c r="Y29" i="1"/>
  <c r="X29" i="1"/>
  <c r="T30" i="1" s="1"/>
  <c r="X30" i="1" s="1"/>
  <c r="Z29" i="1"/>
  <c r="Z30" i="1" l="1"/>
  <c r="W30" i="1"/>
  <c r="S30" i="1"/>
  <c r="Y30" i="1"/>
  <c r="R30" i="1"/>
  <c r="F28" i="1"/>
  <c r="O28" i="1"/>
  <c r="M28" i="1"/>
  <c r="Q28" i="1"/>
  <c r="K28" i="1"/>
  <c r="I28" i="1"/>
  <c r="E28" i="1"/>
  <c r="G28" i="1"/>
  <c r="AA28" i="1"/>
  <c r="AD28" i="1"/>
  <c r="AC28" i="1"/>
  <c r="AB28" i="1"/>
  <c r="T31" i="1" l="1"/>
  <c r="S31" i="1" s="1"/>
  <c r="R31" i="1" l="1"/>
  <c r="Y31" i="1"/>
  <c r="W31" i="1"/>
  <c r="T32" i="1" s="1"/>
  <c r="X31" i="1"/>
  <c r="Z31" i="1"/>
  <c r="Q29" i="1"/>
  <c r="O29" i="1"/>
  <c r="M29" i="1"/>
  <c r="K29" i="1"/>
  <c r="I29" i="1"/>
  <c r="E29" i="1"/>
  <c r="G29" i="1"/>
  <c r="F29" i="1"/>
  <c r="AB29" i="1"/>
  <c r="AC29" i="1"/>
  <c r="AD29" i="1"/>
  <c r="AA29" i="1"/>
  <c r="R32" i="1" l="1"/>
  <c r="X32" i="1"/>
  <c r="Y32" i="1"/>
  <c r="S32" i="1"/>
  <c r="W32" i="1"/>
  <c r="Z32" i="1"/>
  <c r="T33" i="1" l="1"/>
  <c r="R33" i="1" s="1"/>
  <c r="F30" i="1"/>
  <c r="Q30" i="1"/>
  <c r="O30" i="1"/>
  <c r="M30" i="1"/>
  <c r="K30" i="1"/>
  <c r="I30" i="1"/>
  <c r="G30" i="1"/>
  <c r="E30" i="1"/>
  <c r="AB30" i="1"/>
  <c r="AA30" i="1"/>
  <c r="AD30" i="1"/>
  <c r="AC30" i="1"/>
  <c r="X33" i="1" l="1"/>
  <c r="Z33" i="1"/>
  <c r="Y33" i="1"/>
  <c r="S33" i="1"/>
  <c r="W33" i="1"/>
  <c r="T34" i="1" s="1"/>
  <c r="S34" i="1" l="1"/>
  <c r="Y34" i="1"/>
  <c r="W34" i="1"/>
  <c r="R34" i="1"/>
  <c r="Z34" i="1"/>
  <c r="X34" i="1"/>
  <c r="T35" i="1"/>
  <c r="S35" i="1" s="1"/>
  <c r="Q31" i="1"/>
  <c r="O31" i="1"/>
  <c r="M31" i="1"/>
  <c r="K31" i="1"/>
  <c r="I31" i="1"/>
  <c r="G31" i="1"/>
  <c r="E31" i="1"/>
  <c r="F31" i="1"/>
  <c r="AB31" i="1"/>
  <c r="AA31" i="1"/>
  <c r="AC31" i="1"/>
  <c r="AD31" i="1"/>
  <c r="Z35" i="1" l="1"/>
  <c r="Y35" i="1"/>
  <c r="X35" i="1"/>
  <c r="W35" i="1"/>
  <c r="R35" i="1"/>
  <c r="T36" i="1" l="1"/>
  <c r="Z36" i="1" s="1"/>
  <c r="F32" i="1"/>
  <c r="O32" i="1"/>
  <c r="M32" i="1"/>
  <c r="Q32" i="1"/>
  <c r="K32" i="1"/>
  <c r="I32" i="1"/>
  <c r="G32" i="1"/>
  <c r="E32" i="1"/>
  <c r="AD32" i="1"/>
  <c r="AC32" i="1"/>
  <c r="AA32" i="1"/>
  <c r="AB32" i="1"/>
  <c r="W36" i="1" l="1"/>
  <c r="R36" i="1"/>
  <c r="S36" i="1"/>
  <c r="X36" i="1"/>
  <c r="Y36" i="1"/>
  <c r="T37" i="1" l="1"/>
  <c r="Z37" i="1" s="1"/>
  <c r="F33" i="1"/>
  <c r="Q33" i="1"/>
  <c r="O33" i="1"/>
  <c r="M33" i="1"/>
  <c r="K33" i="1"/>
  <c r="G33" i="1"/>
  <c r="E33" i="1"/>
  <c r="I33" i="1"/>
  <c r="AA33" i="1"/>
  <c r="AC33" i="1"/>
  <c r="AD33" i="1"/>
  <c r="AB33" i="1"/>
  <c r="Y37" i="1" l="1"/>
  <c r="R37" i="1"/>
  <c r="W37" i="1"/>
  <c r="T38" i="1" s="1"/>
  <c r="R38" i="1" s="1"/>
  <c r="S37" i="1"/>
  <c r="X37" i="1"/>
  <c r="X38" i="1" l="1"/>
  <c r="Z38" i="1"/>
  <c r="Y38" i="1"/>
  <c r="W38" i="1"/>
  <c r="S38" i="1"/>
  <c r="F34" i="1"/>
  <c r="Q34" i="1"/>
  <c r="O34" i="1"/>
  <c r="M34" i="1"/>
  <c r="K34" i="1"/>
  <c r="I34" i="1"/>
  <c r="G34" i="1"/>
  <c r="E34" i="1"/>
  <c r="AC34" i="1"/>
  <c r="AD34" i="1"/>
  <c r="AB34" i="1"/>
  <c r="AA34" i="1"/>
  <c r="T39" i="1" l="1"/>
  <c r="R39" i="1" s="1"/>
  <c r="Z39" i="1" l="1"/>
  <c r="Y39" i="1"/>
  <c r="S39" i="1"/>
  <c r="X39" i="1"/>
  <c r="W39" i="1"/>
  <c r="T40" i="1" s="1"/>
  <c r="Z40" i="1" s="1"/>
  <c r="F35" i="1"/>
  <c r="Q35" i="1"/>
  <c r="O35" i="1"/>
  <c r="K35" i="1"/>
  <c r="M35" i="1"/>
  <c r="I35" i="1"/>
  <c r="G35" i="1"/>
  <c r="E35" i="1"/>
  <c r="AD35" i="1"/>
  <c r="AC35" i="1"/>
  <c r="AA35" i="1"/>
  <c r="AB35" i="1"/>
  <c r="S40" i="1" l="1"/>
  <c r="R40" i="1"/>
  <c r="X40" i="1"/>
  <c r="Y40" i="1"/>
  <c r="W40" i="1"/>
  <c r="T41" i="1" l="1"/>
  <c r="F36" i="1"/>
  <c r="O36" i="1"/>
  <c r="M36" i="1"/>
  <c r="Q36" i="1"/>
  <c r="K36" i="1"/>
  <c r="I36" i="1"/>
  <c r="G36" i="1"/>
  <c r="E36" i="1"/>
  <c r="AB36" i="1"/>
  <c r="AA36" i="1"/>
  <c r="AD36" i="1"/>
  <c r="AC36" i="1"/>
  <c r="Y41" i="1" l="1"/>
  <c r="Z41" i="1"/>
  <c r="X41" i="1"/>
  <c r="T42" i="1" s="1"/>
  <c r="R41" i="1"/>
  <c r="W41" i="1"/>
  <c r="S41" i="1"/>
  <c r="X42" i="1" l="1"/>
  <c r="S42" i="1"/>
  <c r="Z42" i="1"/>
  <c r="R42" i="1"/>
  <c r="W42" i="1"/>
  <c r="Y42" i="1"/>
  <c r="F37" i="1"/>
  <c r="Q37" i="1"/>
  <c r="O37" i="1"/>
  <c r="M37" i="1"/>
  <c r="K37" i="1"/>
  <c r="I37" i="1"/>
  <c r="G37" i="1"/>
  <c r="E37" i="1"/>
  <c r="AC37" i="1"/>
  <c r="AB37" i="1"/>
  <c r="AD37" i="1"/>
  <c r="AA37" i="1"/>
  <c r="T43" i="1" l="1"/>
  <c r="X43" i="1" s="1"/>
  <c r="S43" i="1" l="1"/>
  <c r="Z43" i="1"/>
  <c r="R43" i="1"/>
  <c r="Y43" i="1"/>
  <c r="W43" i="1"/>
  <c r="F38" i="1"/>
  <c r="Q38" i="1"/>
  <c r="O38" i="1"/>
  <c r="M38" i="1"/>
  <c r="K38" i="1"/>
  <c r="I38" i="1"/>
  <c r="G38" i="1"/>
  <c r="E38" i="1"/>
  <c r="AD38" i="1"/>
  <c r="AC38" i="1"/>
  <c r="AA38" i="1"/>
  <c r="AB38" i="1"/>
  <c r="T44" i="1" l="1"/>
  <c r="X44" i="1" s="1"/>
  <c r="Z44" i="1" l="1"/>
  <c r="W44" i="1"/>
  <c r="Y44" i="1"/>
  <c r="R44" i="1"/>
  <c r="S44" i="1"/>
  <c r="F39" i="1"/>
  <c r="Q39" i="1"/>
  <c r="O39" i="1"/>
  <c r="K39" i="1"/>
  <c r="I39" i="1"/>
  <c r="M39" i="1"/>
  <c r="G39" i="1"/>
  <c r="E39" i="1"/>
  <c r="AA39" i="1"/>
  <c r="AB39" i="1"/>
  <c r="AC39" i="1"/>
  <c r="AD39" i="1"/>
  <c r="T45" i="1" l="1"/>
  <c r="R45" i="1" s="1"/>
  <c r="F40" i="1"/>
  <c r="AD40" i="1"/>
  <c r="AB40" i="1"/>
  <c r="AA40" i="1"/>
  <c r="AC40" i="1"/>
  <c r="O40" i="1"/>
  <c r="M40" i="1"/>
  <c r="Q40" i="1"/>
  <c r="K40" i="1"/>
  <c r="I40" i="1"/>
  <c r="E40" i="1"/>
  <c r="G40" i="1"/>
  <c r="Z45" i="1" l="1"/>
  <c r="W45" i="1"/>
  <c r="Y45" i="1"/>
  <c r="S45" i="1"/>
  <c r="X45" i="1"/>
  <c r="T46" i="1" s="1"/>
  <c r="Q41" i="1"/>
  <c r="O41" i="1"/>
  <c r="M41" i="1"/>
  <c r="K41" i="1"/>
  <c r="G41" i="1"/>
  <c r="I41" i="1"/>
  <c r="E41" i="1"/>
  <c r="AB41" i="1"/>
  <c r="AC41" i="1"/>
  <c r="F41" i="1"/>
  <c r="AD41" i="1"/>
  <c r="AA41" i="1"/>
  <c r="X46" i="1" l="1"/>
  <c r="R46" i="1"/>
  <c r="W46" i="1"/>
  <c r="Z46" i="1"/>
  <c r="S46" i="1"/>
  <c r="Y46" i="1"/>
  <c r="T47" i="1"/>
  <c r="S47" i="1" s="1"/>
  <c r="R47" i="1" l="1"/>
  <c r="W47" i="1"/>
  <c r="X47" i="1"/>
  <c r="Y47" i="1"/>
  <c r="Z47" i="1"/>
  <c r="Q42" i="1"/>
  <c r="O42" i="1"/>
  <c r="M42" i="1"/>
  <c r="K42" i="1"/>
  <c r="I42" i="1"/>
  <c r="G42" i="1"/>
  <c r="E42" i="1"/>
  <c r="AA42" i="1"/>
  <c r="F42" i="1"/>
  <c r="AB42" i="1"/>
  <c r="AD42" i="1"/>
  <c r="AC42" i="1"/>
  <c r="T48" i="1" l="1"/>
  <c r="W48" i="1" s="1"/>
  <c r="R48" i="1" l="1"/>
  <c r="Z48" i="1"/>
  <c r="X48" i="1"/>
  <c r="T49" i="1" s="1"/>
  <c r="S49" i="1" s="1"/>
  <c r="S48" i="1"/>
  <c r="Y48" i="1"/>
  <c r="AA43" i="1"/>
  <c r="Q43" i="1"/>
  <c r="O43" i="1"/>
  <c r="M43" i="1"/>
  <c r="K43" i="1"/>
  <c r="I43" i="1"/>
  <c r="G43" i="1"/>
  <c r="E43" i="1"/>
  <c r="AB43" i="1"/>
  <c r="AD43" i="1"/>
  <c r="F43" i="1"/>
  <c r="AC43" i="1"/>
  <c r="W49" i="1" l="1"/>
  <c r="R49" i="1"/>
  <c r="Y49" i="1"/>
  <c r="Z49" i="1"/>
  <c r="X49" i="1"/>
  <c r="T50" i="1" l="1"/>
  <c r="AD44" i="1"/>
  <c r="O44" i="1"/>
  <c r="M44" i="1"/>
  <c r="Q44" i="1"/>
  <c r="K44" i="1"/>
  <c r="I44" i="1"/>
  <c r="G44" i="1"/>
  <c r="E44" i="1"/>
  <c r="AB44" i="1"/>
  <c r="F44" i="1"/>
  <c r="AC44" i="1"/>
  <c r="AA44" i="1"/>
  <c r="Z50" i="1" l="1"/>
  <c r="R50" i="1"/>
  <c r="Y50" i="1"/>
  <c r="W50" i="1"/>
  <c r="X50" i="1"/>
  <c r="S50" i="1"/>
  <c r="T51" i="1" l="1"/>
  <c r="R51" i="1" s="1"/>
  <c r="Q45" i="1"/>
  <c r="O45" i="1"/>
  <c r="M45" i="1"/>
  <c r="K45" i="1"/>
  <c r="G45" i="1"/>
  <c r="I45" i="1"/>
  <c r="E45" i="1"/>
  <c r="F45" i="1"/>
  <c r="AA45" i="1"/>
  <c r="AB45" i="1"/>
  <c r="AC45" i="1"/>
  <c r="AD45" i="1"/>
  <c r="W51" i="1" l="1"/>
  <c r="S51" i="1"/>
  <c r="Z51" i="1"/>
  <c r="X51" i="1"/>
  <c r="Y51" i="1"/>
  <c r="T52" i="1" l="1"/>
  <c r="Q46" i="1"/>
  <c r="O46" i="1"/>
  <c r="M46" i="1"/>
  <c r="K46" i="1"/>
  <c r="I46" i="1"/>
  <c r="G46" i="1"/>
  <c r="E46" i="1"/>
  <c r="F46" i="1"/>
  <c r="AB46" i="1"/>
  <c r="AC46" i="1"/>
  <c r="AA46" i="1"/>
  <c r="AD46" i="1"/>
  <c r="W52" i="1" l="1"/>
  <c r="R52" i="1"/>
  <c r="Y52" i="1"/>
  <c r="X52" i="1"/>
  <c r="S52" i="1"/>
  <c r="Z52" i="1"/>
  <c r="T53" i="1" l="1"/>
  <c r="R53" i="1" s="1"/>
  <c r="Q47" i="1"/>
  <c r="O47" i="1"/>
  <c r="M47" i="1"/>
  <c r="K47" i="1"/>
  <c r="I47" i="1"/>
  <c r="G47" i="1"/>
  <c r="E47" i="1"/>
  <c r="AB47" i="1"/>
  <c r="AC47" i="1"/>
  <c r="F47" i="1"/>
  <c r="AA47" i="1"/>
  <c r="AD47" i="1"/>
  <c r="S53" i="1" l="1"/>
  <c r="W53" i="1"/>
  <c r="X53" i="1"/>
  <c r="Y53" i="1"/>
  <c r="Z53" i="1"/>
  <c r="T54" i="1" l="1"/>
  <c r="O48" i="1"/>
  <c r="M48" i="1"/>
  <c r="Q48" i="1"/>
  <c r="K48" i="1"/>
  <c r="I48" i="1"/>
  <c r="E48" i="1"/>
  <c r="G48" i="1"/>
  <c r="AC48" i="1"/>
  <c r="F48" i="1"/>
  <c r="AB48" i="1"/>
  <c r="AA48" i="1"/>
  <c r="AD48" i="1"/>
  <c r="X54" i="1" l="1"/>
  <c r="Z54" i="1"/>
  <c r="W54" i="1"/>
  <c r="T55" i="1" s="1"/>
  <c r="Y54" i="1"/>
  <c r="S54" i="1"/>
  <c r="R54" i="1"/>
  <c r="R55" i="1" l="1"/>
  <c r="Y55" i="1"/>
  <c r="X55" i="1"/>
  <c r="T56" i="1" s="1"/>
  <c r="W55" i="1"/>
  <c r="Z55" i="1"/>
  <c r="S55" i="1"/>
  <c r="Q49" i="1"/>
  <c r="O49" i="1"/>
  <c r="M49" i="1"/>
  <c r="K49" i="1"/>
  <c r="G49" i="1"/>
  <c r="E49" i="1"/>
  <c r="I49" i="1"/>
  <c r="F49" i="1"/>
  <c r="AA49" i="1"/>
  <c r="AC49" i="1"/>
  <c r="AB49" i="1"/>
  <c r="AD49" i="1"/>
  <c r="R56" i="1" l="1"/>
  <c r="X56" i="1"/>
  <c r="Z56" i="1"/>
  <c r="S56" i="1"/>
  <c r="Y56" i="1"/>
  <c r="W56" i="1"/>
  <c r="T57" i="1" l="1"/>
  <c r="R57" i="1" s="1"/>
  <c r="Z57" i="1"/>
  <c r="Q50" i="1"/>
  <c r="O50" i="1"/>
  <c r="M50" i="1"/>
  <c r="K50" i="1"/>
  <c r="I50" i="1"/>
  <c r="G50" i="1"/>
  <c r="E50" i="1"/>
  <c r="AA50" i="1"/>
  <c r="AB50" i="1"/>
  <c r="F50" i="1"/>
  <c r="AD50" i="1"/>
  <c r="AC50" i="1"/>
  <c r="W57" i="1" l="1"/>
  <c r="T58" i="1" s="1"/>
  <c r="S57" i="1"/>
  <c r="Y57" i="1"/>
  <c r="X57" i="1"/>
  <c r="R58" i="1" l="1"/>
  <c r="Y58" i="1"/>
  <c r="S58" i="1"/>
  <c r="Z58" i="1"/>
  <c r="W58" i="1"/>
  <c r="X58" i="1"/>
  <c r="T59" i="1"/>
  <c r="F51" i="1"/>
  <c r="AC51" i="1"/>
  <c r="I51" i="1"/>
  <c r="AA51" i="1"/>
  <c r="AB51" i="1"/>
  <c r="E51" i="1"/>
  <c r="K51" i="1"/>
  <c r="AD51" i="1"/>
  <c r="G51" i="1"/>
  <c r="O51" i="1"/>
  <c r="M51" i="1"/>
  <c r="Q51" i="1"/>
  <c r="Z59" i="1" l="1"/>
  <c r="X59" i="1"/>
  <c r="W59" i="1"/>
  <c r="T60" i="1" s="1"/>
  <c r="S60" i="1" s="1"/>
  <c r="S59" i="1"/>
  <c r="Y59" i="1"/>
  <c r="R59" i="1"/>
  <c r="F52" i="1"/>
  <c r="O52" i="1"/>
  <c r="M52" i="1"/>
  <c r="Q52" i="1"/>
  <c r="K52" i="1"/>
  <c r="I52" i="1"/>
  <c r="G52" i="1"/>
  <c r="E52" i="1"/>
  <c r="AC52" i="1"/>
  <c r="AB52" i="1"/>
  <c r="AD52" i="1"/>
  <c r="AA52" i="1"/>
  <c r="W60" i="1" l="1"/>
  <c r="Y60" i="1"/>
  <c r="R60" i="1"/>
  <c r="X60" i="1"/>
  <c r="Z60" i="1"/>
  <c r="T61" i="1" l="1"/>
  <c r="W61" i="1" s="1"/>
  <c r="Q53" i="1"/>
  <c r="O53" i="1"/>
  <c r="M53" i="1"/>
  <c r="K53" i="1"/>
  <c r="I53" i="1"/>
  <c r="G53" i="1"/>
  <c r="E53" i="1"/>
  <c r="AD53" i="1"/>
  <c r="AA53" i="1"/>
  <c r="AB53" i="1"/>
  <c r="AC53" i="1"/>
  <c r="F53" i="1"/>
  <c r="Y61" i="1" l="1"/>
  <c r="R61" i="1"/>
  <c r="S61" i="1"/>
  <c r="Z61" i="1"/>
  <c r="X61" i="1"/>
  <c r="T62" i="1" s="1"/>
  <c r="R62" i="1" s="1"/>
  <c r="W62" i="1" l="1"/>
  <c r="S62" i="1"/>
  <c r="Z62" i="1"/>
  <c r="Y62" i="1"/>
  <c r="X62" i="1"/>
  <c r="Q54" i="1"/>
  <c r="O54" i="1"/>
  <c r="M54" i="1"/>
  <c r="K54" i="1"/>
  <c r="I54" i="1"/>
  <c r="G54" i="1"/>
  <c r="E54" i="1"/>
  <c r="AB54" i="1"/>
  <c r="AA54" i="1"/>
  <c r="F54" i="1"/>
  <c r="AD54" i="1"/>
  <c r="AC54" i="1"/>
  <c r="T63" i="1" l="1"/>
  <c r="W63" i="1" s="1"/>
  <c r="S63" i="1" l="1"/>
  <c r="R63" i="1"/>
  <c r="Y63" i="1"/>
  <c r="Z63" i="1"/>
  <c r="X63" i="1"/>
  <c r="Q55" i="1"/>
  <c r="O55" i="1"/>
  <c r="M55" i="1"/>
  <c r="K55" i="1"/>
  <c r="I55" i="1"/>
  <c r="G55" i="1"/>
  <c r="E55" i="1"/>
  <c r="AD55" i="1"/>
  <c r="F55" i="1"/>
  <c r="AB55" i="1"/>
  <c r="AC55" i="1"/>
  <c r="AA55" i="1"/>
  <c r="T64" i="1" l="1"/>
  <c r="X64" i="1" s="1"/>
  <c r="W64" i="1" l="1"/>
  <c r="R64" i="1"/>
  <c r="Y64" i="1"/>
  <c r="T65" i="1" s="1"/>
  <c r="R65" i="1" s="1"/>
  <c r="S64" i="1"/>
  <c r="Z64" i="1"/>
  <c r="O56" i="1"/>
  <c r="M56" i="1"/>
  <c r="Q56" i="1"/>
  <c r="K56" i="1"/>
  <c r="I56" i="1"/>
  <c r="E56" i="1"/>
  <c r="G56" i="1"/>
  <c r="AC56" i="1"/>
  <c r="AD56" i="1"/>
  <c r="F56" i="1"/>
  <c r="AB56" i="1"/>
  <c r="AA56" i="1"/>
  <c r="X65" i="1" l="1"/>
  <c r="W65" i="1"/>
  <c r="Z65" i="1"/>
  <c r="T66" i="1" s="1"/>
  <c r="R66" i="1" s="1"/>
  <c r="Y65" i="1"/>
  <c r="S65" i="1"/>
  <c r="S66" i="1" l="1"/>
  <c r="W66" i="1"/>
  <c r="Z66" i="1"/>
  <c r="X66" i="1"/>
  <c r="Y66" i="1"/>
  <c r="Q57" i="1"/>
  <c r="O57" i="1"/>
  <c r="M57" i="1"/>
  <c r="K57" i="1"/>
  <c r="G57" i="1"/>
  <c r="I57" i="1"/>
  <c r="E57" i="1"/>
  <c r="AD57" i="1"/>
  <c r="F57" i="1"/>
  <c r="AB57" i="1"/>
  <c r="AA57" i="1"/>
  <c r="AC57" i="1"/>
  <c r="T67" i="1" l="1"/>
  <c r="R67" i="1" s="1"/>
  <c r="Q58" i="1"/>
  <c r="O58" i="1"/>
  <c r="M58" i="1"/>
  <c r="K58" i="1"/>
  <c r="I58" i="1"/>
  <c r="G58" i="1"/>
  <c r="E58" i="1"/>
  <c r="AB58" i="1"/>
  <c r="AD58" i="1"/>
  <c r="AC58" i="1"/>
  <c r="AA58" i="1"/>
  <c r="F58" i="1"/>
  <c r="S67" i="1" l="1"/>
  <c r="W67" i="1"/>
  <c r="Z67" i="1"/>
  <c r="Y67" i="1"/>
  <c r="X67" i="1"/>
  <c r="T68" i="1" l="1"/>
  <c r="Y68" i="1" s="1"/>
  <c r="Q59" i="1"/>
  <c r="O59" i="1"/>
  <c r="K59" i="1"/>
  <c r="I59" i="1"/>
  <c r="M59" i="1"/>
  <c r="G59" i="1"/>
  <c r="E59" i="1"/>
  <c r="AB59" i="1"/>
  <c r="AC59" i="1"/>
  <c r="F59" i="1"/>
  <c r="AA59" i="1"/>
  <c r="AD59" i="1"/>
  <c r="R68" i="1" l="1"/>
  <c r="S68" i="1"/>
  <c r="W68" i="1"/>
  <c r="T69" i="1" s="1"/>
  <c r="Z69" i="1" s="1"/>
  <c r="X68" i="1"/>
  <c r="Z68" i="1"/>
  <c r="W69" i="1" l="1"/>
  <c r="Y69" i="1"/>
  <c r="X69" i="1"/>
  <c r="R69" i="1"/>
  <c r="S69" i="1"/>
  <c r="T70" i="1"/>
  <c r="R70" i="1" s="1"/>
  <c r="O60" i="1"/>
  <c r="M60" i="1"/>
  <c r="Q60" i="1"/>
  <c r="K60" i="1"/>
  <c r="I60" i="1"/>
  <c r="G60" i="1"/>
  <c r="E60" i="1"/>
  <c r="AA60" i="1"/>
  <c r="AB60" i="1"/>
  <c r="F60" i="1"/>
  <c r="AC60" i="1"/>
  <c r="AD60" i="1"/>
  <c r="X70" i="1" l="1"/>
  <c r="Z70" i="1"/>
  <c r="Y70" i="1"/>
  <c r="S70" i="1"/>
  <c r="W70" i="1"/>
  <c r="T71" i="1" s="1"/>
  <c r="X71" i="1" l="1"/>
  <c r="R71" i="1"/>
  <c r="S71" i="1"/>
  <c r="Y71" i="1"/>
  <c r="W71" i="1"/>
  <c r="Z71" i="1"/>
  <c r="T72" i="1"/>
  <c r="K61" i="1"/>
  <c r="AB61" i="1"/>
  <c r="E61" i="1"/>
  <c r="M61" i="1"/>
  <c r="AA61" i="1"/>
  <c r="AD61" i="1"/>
  <c r="I61" i="1"/>
  <c r="O61" i="1"/>
  <c r="F61" i="1"/>
  <c r="AC61" i="1"/>
  <c r="G61" i="1"/>
  <c r="Q61" i="1"/>
  <c r="X72" i="1" l="1"/>
  <c r="R72" i="1"/>
  <c r="Z72" i="1"/>
  <c r="W72" i="1"/>
  <c r="Y72" i="1"/>
  <c r="S72" i="1"/>
  <c r="K62" i="1"/>
  <c r="Q62" i="1"/>
  <c r="I62" i="1"/>
  <c r="O62" i="1"/>
  <c r="AC62" i="1"/>
  <c r="G62" i="1"/>
  <c r="AB62" i="1"/>
  <c r="E62" i="1"/>
  <c r="F62" i="1"/>
  <c r="M62" i="1"/>
  <c r="AD62" i="1"/>
  <c r="AA62" i="1"/>
  <c r="T73" i="1" l="1"/>
  <c r="W73" i="1" s="1"/>
  <c r="AB63" i="1"/>
  <c r="AC63" i="1"/>
  <c r="G63" i="1"/>
  <c r="O63" i="1"/>
  <c r="AD63" i="1"/>
  <c r="E63" i="1"/>
  <c r="M63" i="1"/>
  <c r="AA63" i="1"/>
  <c r="I63" i="1"/>
  <c r="Q63" i="1"/>
  <c r="F63" i="1"/>
  <c r="K63" i="1"/>
  <c r="S73" i="1" l="1"/>
  <c r="Z73" i="1"/>
  <c r="Y73" i="1"/>
  <c r="R73" i="1"/>
  <c r="X73" i="1"/>
  <c r="M64" i="1"/>
  <c r="Q64" i="1"/>
  <c r="E64" i="1"/>
  <c r="G64" i="1"/>
  <c r="AB64" i="1"/>
  <c r="AA64" i="1"/>
  <c r="AC64" i="1"/>
  <c r="T74" i="1" l="1"/>
  <c r="R74" i="1" s="1"/>
  <c r="I64" i="1"/>
  <c r="O64" i="1"/>
  <c r="AD64" i="1"/>
  <c r="F64" i="1"/>
  <c r="K64" i="1"/>
  <c r="Y74" i="1" l="1"/>
  <c r="Z74" i="1"/>
  <c r="X74" i="1"/>
  <c r="T75" i="1" s="1"/>
  <c r="R75" i="1" s="1"/>
  <c r="W74" i="1"/>
  <c r="S74" i="1"/>
  <c r="E65" i="1"/>
  <c r="M65" i="1"/>
  <c r="AA65" i="1"/>
  <c r="G65" i="1"/>
  <c r="O65" i="1"/>
  <c r="AC65" i="1"/>
  <c r="I65" i="1"/>
  <c r="Q65" i="1"/>
  <c r="AD65" i="1"/>
  <c r="F65" i="1"/>
  <c r="AB65" i="1"/>
  <c r="K65" i="1"/>
  <c r="X75" i="1" l="1"/>
  <c r="S75" i="1"/>
  <c r="Y75" i="1"/>
  <c r="Z75" i="1"/>
  <c r="W75" i="1"/>
  <c r="Q66" i="1"/>
  <c r="I66" i="1"/>
  <c r="AA66" i="1"/>
  <c r="AD66" i="1"/>
  <c r="O66" i="1"/>
  <c r="G66" i="1"/>
  <c r="AB66" i="1"/>
  <c r="F66" i="1"/>
  <c r="M66" i="1"/>
  <c r="E66" i="1"/>
  <c r="AC66" i="1"/>
  <c r="K66" i="1"/>
  <c r="T76" i="1" l="1"/>
  <c r="R76" i="1" s="1"/>
  <c r="O67" i="1"/>
  <c r="G67" i="1"/>
  <c r="AA67" i="1"/>
  <c r="AD67" i="1"/>
  <c r="K67" i="1"/>
  <c r="E67" i="1"/>
  <c r="M67" i="1"/>
  <c r="Q67" i="1"/>
  <c r="AB67" i="1"/>
  <c r="I67" i="1"/>
  <c r="F67" i="1"/>
  <c r="AC67" i="1"/>
  <c r="W76" i="1" l="1"/>
  <c r="S76" i="1"/>
  <c r="Y76" i="1"/>
  <c r="Z76" i="1"/>
  <c r="X76" i="1"/>
  <c r="T77" i="1" l="1"/>
  <c r="G68" i="1"/>
  <c r="M68" i="1"/>
  <c r="AD68" i="1"/>
  <c r="AB68" i="1"/>
  <c r="E68" i="1"/>
  <c r="Q68" i="1"/>
  <c r="AC68" i="1"/>
  <c r="I68" i="1"/>
  <c r="O68" i="1"/>
  <c r="AA68" i="1"/>
  <c r="F68" i="1"/>
  <c r="K68" i="1"/>
  <c r="R77" i="1" l="1"/>
  <c r="W77" i="1"/>
  <c r="Y77" i="1"/>
  <c r="S77" i="1"/>
  <c r="X77" i="1"/>
  <c r="Z77" i="1"/>
  <c r="T78" i="1" l="1"/>
  <c r="R78" i="1" s="1"/>
  <c r="W78" i="1"/>
  <c r="F69" i="1"/>
  <c r="I69" i="1"/>
  <c r="M69" i="1"/>
  <c r="AD69" i="1"/>
  <c r="AC69" i="1"/>
  <c r="G69" i="1"/>
  <c r="Q69" i="1"/>
  <c r="AA69" i="1"/>
  <c r="K69" i="1"/>
  <c r="AB69" i="1"/>
  <c r="E69" i="1"/>
  <c r="O69" i="1"/>
  <c r="X78" i="1" l="1"/>
  <c r="S78" i="1"/>
  <c r="Z78" i="1"/>
  <c r="Y78" i="1"/>
  <c r="T79" i="1" s="1"/>
  <c r="AC70" i="1"/>
  <c r="Q70" i="1"/>
  <c r="O70" i="1"/>
  <c r="M70" i="1"/>
  <c r="K70" i="1"/>
  <c r="G70" i="1"/>
  <c r="E70" i="1"/>
  <c r="I70" i="1"/>
  <c r="AD70" i="1"/>
  <c r="F70" i="1"/>
  <c r="AA70" i="1"/>
  <c r="AB70" i="1"/>
  <c r="Y79" i="1" l="1"/>
  <c r="S79" i="1"/>
  <c r="W79" i="1"/>
  <c r="R79" i="1"/>
  <c r="Z79" i="1"/>
  <c r="X79" i="1"/>
  <c r="T80" i="1"/>
  <c r="R80" i="1" s="1"/>
  <c r="S80" i="1" l="1"/>
  <c r="Z80" i="1"/>
  <c r="Y80" i="1"/>
  <c r="X80" i="1"/>
  <c r="W80" i="1"/>
  <c r="Q71" i="1"/>
  <c r="O71" i="1"/>
  <c r="M71" i="1"/>
  <c r="K71" i="1"/>
  <c r="I71" i="1"/>
  <c r="G71" i="1"/>
  <c r="E71" i="1"/>
  <c r="AB71" i="1"/>
  <c r="AD71" i="1"/>
  <c r="AC71" i="1"/>
  <c r="AA71" i="1"/>
  <c r="F71" i="1"/>
  <c r="T81" i="1" l="1"/>
  <c r="R81" i="1" s="1"/>
  <c r="Y81" i="1" l="1"/>
  <c r="S81" i="1"/>
  <c r="W81" i="1"/>
  <c r="Z81" i="1"/>
  <c r="X81" i="1"/>
  <c r="O72" i="1"/>
  <c r="M72" i="1"/>
  <c r="Q72" i="1"/>
  <c r="K72" i="1"/>
  <c r="I72" i="1"/>
  <c r="E72" i="1"/>
  <c r="G72" i="1"/>
  <c r="AD72" i="1"/>
  <c r="AC72" i="1"/>
  <c r="AB72" i="1"/>
  <c r="AA72" i="1"/>
  <c r="F72" i="1"/>
  <c r="T82" i="1" l="1"/>
  <c r="R82" i="1" s="1"/>
  <c r="Q73" i="1"/>
  <c r="O73" i="1"/>
  <c r="M73" i="1"/>
  <c r="K73" i="1"/>
  <c r="I73" i="1"/>
  <c r="G73" i="1"/>
  <c r="E73" i="1"/>
  <c r="AB73" i="1"/>
  <c r="AD73" i="1"/>
  <c r="AC73" i="1"/>
  <c r="AA73" i="1"/>
  <c r="F73" i="1"/>
  <c r="S82" i="1" l="1"/>
  <c r="W82" i="1"/>
  <c r="T83" i="1" s="1"/>
  <c r="R83" i="1" s="1"/>
  <c r="Y82" i="1"/>
  <c r="X82" i="1"/>
  <c r="Z82" i="1"/>
  <c r="Z83" i="1" l="1"/>
  <c r="S83" i="1"/>
  <c r="X83" i="1"/>
  <c r="W83" i="1"/>
  <c r="Y83" i="1"/>
  <c r="Q74" i="1"/>
  <c r="O74" i="1"/>
  <c r="M74" i="1"/>
  <c r="K74" i="1"/>
  <c r="I74" i="1"/>
  <c r="G74" i="1"/>
  <c r="E74" i="1"/>
  <c r="AC74" i="1"/>
  <c r="AB74" i="1"/>
  <c r="F74" i="1"/>
  <c r="AD74" i="1"/>
  <c r="AA74" i="1"/>
  <c r="T84" i="1" l="1"/>
  <c r="S84" i="1" s="1"/>
  <c r="Y84" i="1" l="1"/>
  <c r="Z84" i="1"/>
  <c r="X84" i="1"/>
  <c r="T85" i="1" s="1"/>
  <c r="R85" i="1" s="1"/>
  <c r="R84" i="1"/>
  <c r="W84" i="1"/>
  <c r="Q75" i="1"/>
  <c r="O75" i="1"/>
  <c r="K75" i="1"/>
  <c r="I75" i="1"/>
  <c r="M75" i="1"/>
  <c r="G75" i="1"/>
  <c r="E75" i="1"/>
  <c r="AA75" i="1"/>
  <c r="AB75" i="1"/>
  <c r="F75" i="1"/>
  <c r="AC75" i="1"/>
  <c r="AD75" i="1"/>
  <c r="S85" i="1" l="1"/>
  <c r="Z85" i="1"/>
  <c r="X85" i="1"/>
  <c r="Y85" i="1"/>
  <c r="W85" i="1"/>
  <c r="T86" i="1" l="1"/>
  <c r="R86" i="1" s="1"/>
  <c r="O76" i="1"/>
  <c r="Q76" i="1"/>
  <c r="M76" i="1"/>
  <c r="K76" i="1"/>
  <c r="I76" i="1"/>
  <c r="E76" i="1"/>
  <c r="G76" i="1"/>
  <c r="AD76" i="1"/>
  <c r="AC76" i="1"/>
  <c r="AA76" i="1"/>
  <c r="AB76" i="1"/>
  <c r="F76" i="1"/>
  <c r="X86" i="1" l="1"/>
  <c r="Z86" i="1"/>
  <c r="W86" i="1"/>
  <c r="S86" i="1"/>
  <c r="Y86" i="1"/>
  <c r="AB77" i="1"/>
  <c r="Q77" i="1"/>
  <c r="O77" i="1"/>
  <c r="M77" i="1"/>
  <c r="K77" i="1"/>
  <c r="I77" i="1"/>
  <c r="E77" i="1"/>
  <c r="G77" i="1"/>
  <c r="AD77" i="1"/>
  <c r="AA77" i="1"/>
  <c r="AC77" i="1"/>
  <c r="F77" i="1"/>
  <c r="T87" i="1" l="1"/>
  <c r="X87" i="1" s="1"/>
  <c r="S87" i="1" l="1"/>
  <c r="W87" i="1"/>
  <c r="Y87" i="1"/>
  <c r="R87" i="1"/>
  <c r="Z87" i="1"/>
  <c r="Q78" i="1"/>
  <c r="O78" i="1"/>
  <c r="M78" i="1"/>
  <c r="K78" i="1"/>
  <c r="G78" i="1"/>
  <c r="E78" i="1"/>
  <c r="I78" i="1"/>
  <c r="F78" i="1"/>
  <c r="AD78" i="1"/>
  <c r="AB78" i="1"/>
  <c r="AC78" i="1"/>
  <c r="AA78" i="1"/>
  <c r="T88" i="1" l="1"/>
  <c r="S88" i="1" s="1"/>
  <c r="R88" i="1" l="1"/>
  <c r="X88" i="1"/>
  <c r="Z88" i="1"/>
  <c r="W88" i="1"/>
  <c r="Y88" i="1"/>
  <c r="Q79" i="1"/>
  <c r="O79" i="1"/>
  <c r="K79" i="1"/>
  <c r="M79" i="1"/>
  <c r="I79" i="1"/>
  <c r="G79" i="1"/>
  <c r="E79" i="1"/>
  <c r="AA79" i="1"/>
  <c r="AB79" i="1"/>
  <c r="F79" i="1"/>
  <c r="AC79" i="1"/>
  <c r="AD79" i="1"/>
  <c r="T89" i="1" l="1"/>
  <c r="R89" i="1" l="1"/>
  <c r="Z89" i="1"/>
  <c r="W89" i="1"/>
  <c r="Y89" i="1"/>
  <c r="S89" i="1"/>
  <c r="X89" i="1"/>
  <c r="T90" i="1" s="1"/>
  <c r="O80" i="1"/>
  <c r="Q80" i="1"/>
  <c r="K80" i="1"/>
  <c r="M80" i="1"/>
  <c r="I80" i="1"/>
  <c r="G80" i="1"/>
  <c r="E80" i="1"/>
  <c r="F80" i="1"/>
  <c r="AD80" i="1"/>
  <c r="AB80" i="1"/>
  <c r="AA80" i="1"/>
  <c r="AC80" i="1"/>
  <c r="R90" i="1" l="1"/>
  <c r="Z90" i="1"/>
  <c r="W90" i="1"/>
  <c r="S90" i="1"/>
  <c r="X90" i="1"/>
  <c r="Y90" i="1"/>
  <c r="T91" i="1"/>
  <c r="R91" i="1" s="1"/>
  <c r="Z91" i="1" l="1"/>
  <c r="W91" i="1"/>
  <c r="Y91" i="1"/>
  <c r="T92" i="1" s="1"/>
  <c r="R92" i="1" s="1"/>
  <c r="X91" i="1"/>
  <c r="S91" i="1"/>
  <c r="AD81" i="1"/>
  <c r="AC81" i="1"/>
  <c r="F81" i="1"/>
  <c r="AA81" i="1"/>
  <c r="AB81" i="1"/>
  <c r="Q81" i="1"/>
  <c r="O81" i="1"/>
  <c r="M81" i="1"/>
  <c r="K81" i="1"/>
  <c r="I81" i="1"/>
  <c r="G81" i="1"/>
  <c r="E81" i="1"/>
  <c r="W92" i="1" l="1"/>
  <c r="Z92" i="1"/>
  <c r="X92" i="1"/>
  <c r="S92" i="1"/>
  <c r="Y92" i="1"/>
  <c r="E82" i="1"/>
  <c r="AD82" i="1"/>
  <c r="AA82" i="1"/>
  <c r="T93" i="1" l="1"/>
  <c r="R93" i="1" s="1"/>
  <c r="M82" i="1"/>
  <c r="AC82" i="1"/>
  <c r="G82" i="1"/>
  <c r="O82" i="1"/>
  <c r="I82" i="1"/>
  <c r="Q82" i="1"/>
  <c r="AB82" i="1"/>
  <c r="F82" i="1"/>
  <c r="K82" i="1"/>
  <c r="Z93" i="1" l="1"/>
  <c r="X93" i="1"/>
  <c r="S93" i="1"/>
  <c r="Y93" i="1"/>
  <c r="W93" i="1"/>
  <c r="T94" i="1" s="1"/>
  <c r="R94" i="1" s="1"/>
  <c r="Q83" i="1"/>
  <c r="O83" i="1"/>
  <c r="M83" i="1"/>
  <c r="K83" i="1"/>
  <c r="I83" i="1"/>
  <c r="G83" i="1"/>
  <c r="E83" i="1"/>
  <c r="AA83" i="1"/>
  <c r="AD83" i="1"/>
  <c r="AB83" i="1"/>
  <c r="AC83" i="1"/>
  <c r="F83" i="1"/>
  <c r="Y94" i="1" l="1"/>
  <c r="W94" i="1"/>
  <c r="Z94" i="1"/>
  <c r="X94" i="1"/>
  <c r="S94" i="1"/>
  <c r="T95" i="1" l="1"/>
  <c r="R95" i="1" s="1"/>
  <c r="O84" i="1"/>
  <c r="Q84" i="1"/>
  <c r="M84" i="1"/>
  <c r="K84" i="1"/>
  <c r="I84" i="1"/>
  <c r="E84" i="1"/>
  <c r="G84" i="1"/>
  <c r="AA84" i="1"/>
  <c r="F84" i="1"/>
  <c r="AC84" i="1"/>
  <c r="AB84" i="1"/>
  <c r="AD84" i="1"/>
  <c r="W95" i="1" l="1"/>
  <c r="S95" i="1"/>
  <c r="Z95" i="1"/>
  <c r="Y95" i="1"/>
  <c r="X95" i="1"/>
  <c r="T96" i="1" l="1"/>
  <c r="Q85" i="1"/>
  <c r="O85" i="1"/>
  <c r="M85" i="1"/>
  <c r="K85" i="1"/>
  <c r="G85" i="1"/>
  <c r="E85" i="1"/>
  <c r="I85" i="1"/>
  <c r="AB85" i="1"/>
  <c r="F85" i="1"/>
  <c r="AA85" i="1"/>
  <c r="AD85" i="1"/>
  <c r="AC85" i="1"/>
  <c r="W96" i="1" l="1"/>
  <c r="R96" i="1"/>
  <c r="X96" i="1"/>
  <c r="Z96" i="1"/>
  <c r="Y96" i="1"/>
  <c r="S96" i="1"/>
  <c r="Q86" i="1"/>
  <c r="O86" i="1"/>
  <c r="M86" i="1"/>
  <c r="K86" i="1"/>
  <c r="G86" i="1"/>
  <c r="E86" i="1"/>
  <c r="I86" i="1"/>
  <c r="AB86" i="1"/>
  <c r="AD86" i="1"/>
  <c r="AC86" i="1"/>
  <c r="F86" i="1"/>
  <c r="AA86" i="1"/>
  <c r="T97" i="1" l="1"/>
  <c r="Y97" i="1" l="1"/>
  <c r="R97" i="1"/>
  <c r="S97" i="1"/>
  <c r="X97" i="1"/>
  <c r="W97" i="1"/>
  <c r="Z97" i="1"/>
  <c r="F87" i="1"/>
  <c r="G87" i="1"/>
  <c r="O87" i="1"/>
  <c r="AD87" i="1"/>
  <c r="E87" i="1"/>
  <c r="M87" i="1"/>
  <c r="I87" i="1"/>
  <c r="Q87" i="1"/>
  <c r="AA87" i="1"/>
  <c r="AB87" i="1"/>
  <c r="K87" i="1"/>
  <c r="AC87" i="1"/>
  <c r="T98" i="1" l="1"/>
  <c r="R98" i="1" s="1"/>
  <c r="Z98" i="1" l="1"/>
  <c r="Y98" i="1"/>
  <c r="X98" i="1"/>
  <c r="W98" i="1"/>
  <c r="S98" i="1"/>
  <c r="AC88" i="1"/>
  <c r="AB88" i="1"/>
  <c r="AA88" i="1"/>
  <c r="F88" i="1"/>
  <c r="AD88" i="1"/>
  <c r="Q88" i="1"/>
  <c r="M88" i="1"/>
  <c r="K88" i="1"/>
  <c r="O88" i="1"/>
  <c r="I88" i="1"/>
  <c r="G88" i="1"/>
  <c r="E88" i="1"/>
  <c r="T99" i="1" l="1"/>
  <c r="W99" i="1" s="1"/>
  <c r="M89" i="1"/>
  <c r="E89" i="1"/>
  <c r="K89" i="1"/>
  <c r="AB89" i="1"/>
  <c r="AD89" i="1"/>
  <c r="Q89" i="1"/>
  <c r="I89" i="1"/>
  <c r="AC89" i="1"/>
  <c r="F89" i="1"/>
  <c r="O89" i="1"/>
  <c r="G89" i="1"/>
  <c r="AA89" i="1"/>
  <c r="X99" i="1" l="1"/>
  <c r="S99" i="1"/>
  <c r="R99" i="1"/>
  <c r="Y99" i="1"/>
  <c r="Z99" i="1"/>
  <c r="F90" i="1"/>
  <c r="Q90" i="1"/>
  <c r="O90" i="1"/>
  <c r="M90" i="1"/>
  <c r="K90" i="1"/>
  <c r="I90" i="1"/>
  <c r="G90" i="1"/>
  <c r="E90" i="1"/>
  <c r="AB90" i="1"/>
  <c r="AD90" i="1"/>
  <c r="AC90" i="1"/>
  <c r="AA90" i="1"/>
  <c r="T100" i="1" l="1"/>
  <c r="Z100" i="1" l="1"/>
  <c r="R100" i="1"/>
  <c r="Y100" i="1"/>
  <c r="X100" i="1"/>
  <c r="W100" i="1"/>
  <c r="S100" i="1"/>
  <c r="Q91" i="1"/>
  <c r="O91" i="1"/>
  <c r="K91" i="1"/>
  <c r="I91" i="1"/>
  <c r="M91" i="1"/>
  <c r="G91" i="1"/>
  <c r="E91" i="1"/>
  <c r="AC91" i="1"/>
  <c r="AA91" i="1"/>
  <c r="F91" i="1"/>
  <c r="AD91" i="1"/>
  <c r="AB91" i="1"/>
  <c r="T101" i="1" l="1"/>
  <c r="R101" i="1" s="1"/>
  <c r="AD92" i="1"/>
  <c r="F92" i="1"/>
  <c r="AB92" i="1"/>
  <c r="AA92" i="1"/>
  <c r="AC92" i="1"/>
  <c r="O92" i="1"/>
  <c r="Q92" i="1"/>
  <c r="M92" i="1"/>
  <c r="K92" i="1"/>
  <c r="I92" i="1"/>
  <c r="E92" i="1"/>
  <c r="G92" i="1"/>
  <c r="S101" i="1" l="1"/>
  <c r="X101" i="1"/>
  <c r="Y101" i="1"/>
  <c r="W101" i="1"/>
  <c r="Z101" i="1"/>
  <c r="T102" i="1" l="1"/>
  <c r="X102" i="1" s="1"/>
  <c r="AC93" i="1"/>
  <c r="Q93" i="1"/>
  <c r="O93" i="1"/>
  <c r="M93" i="1"/>
  <c r="K93" i="1"/>
  <c r="G93" i="1"/>
  <c r="I93" i="1"/>
  <c r="E93" i="1"/>
  <c r="AD93" i="1"/>
  <c r="AB93" i="1"/>
  <c r="F93" i="1"/>
  <c r="AA93" i="1"/>
  <c r="Z102" i="1" l="1"/>
  <c r="Y102" i="1"/>
  <c r="W102" i="1"/>
  <c r="T103" i="1" s="1"/>
  <c r="Z103" i="1" s="1"/>
  <c r="R102" i="1"/>
  <c r="S102" i="1"/>
  <c r="AB94" i="1"/>
  <c r="AD94" i="1"/>
  <c r="AC94" i="1"/>
  <c r="F94" i="1"/>
  <c r="Q94" i="1"/>
  <c r="O94" i="1"/>
  <c r="M94" i="1"/>
  <c r="K94" i="1"/>
  <c r="G94" i="1"/>
  <c r="E94" i="1"/>
  <c r="I94" i="1"/>
  <c r="AA94" i="1"/>
  <c r="W103" i="1" l="1"/>
  <c r="Y103" i="1"/>
  <c r="R103" i="1"/>
  <c r="X103" i="1"/>
  <c r="S103" i="1"/>
  <c r="T104" i="1" l="1"/>
  <c r="S104" i="1" s="1"/>
  <c r="AB95" i="1"/>
  <c r="AA95" i="1"/>
  <c r="M95" i="1"/>
  <c r="AC95" i="1"/>
  <c r="E95" i="1"/>
  <c r="K95" i="1"/>
  <c r="AD95" i="1"/>
  <c r="G95" i="1"/>
  <c r="O95" i="1"/>
  <c r="F95" i="1"/>
  <c r="I95" i="1"/>
  <c r="Q95" i="1"/>
  <c r="R104" i="1" l="1"/>
  <c r="X104" i="1"/>
  <c r="Z104" i="1"/>
  <c r="W104" i="1"/>
  <c r="Y104" i="1"/>
  <c r="T105" i="1" l="1"/>
  <c r="R105" i="1" s="1"/>
  <c r="AA96" i="1"/>
  <c r="E96" i="1"/>
  <c r="Q96" i="1"/>
  <c r="G96" i="1"/>
  <c r="K96" i="1"/>
  <c r="AD96" i="1"/>
  <c r="AB96" i="1"/>
  <c r="I96" i="1"/>
  <c r="O96" i="1"/>
  <c r="F96" i="1"/>
  <c r="M96" i="1"/>
  <c r="AC96" i="1"/>
  <c r="Z105" i="1" l="1"/>
  <c r="S105" i="1"/>
  <c r="X105" i="1"/>
  <c r="Y105" i="1"/>
  <c r="W105" i="1"/>
  <c r="Q97" i="1"/>
  <c r="O97" i="1"/>
  <c r="M97" i="1"/>
  <c r="K97" i="1"/>
  <c r="I97" i="1"/>
  <c r="E97" i="1"/>
  <c r="G97" i="1"/>
  <c r="AC97" i="1"/>
  <c r="AD97" i="1"/>
  <c r="AA97" i="1"/>
  <c r="F97" i="1"/>
  <c r="AB97" i="1"/>
  <c r="T106" i="1" l="1"/>
  <c r="Y106" i="1" s="1"/>
  <c r="X106" i="1" l="1"/>
  <c r="S106" i="1"/>
  <c r="Z106" i="1"/>
  <c r="W106" i="1"/>
  <c r="R106" i="1"/>
  <c r="Q98" i="1"/>
  <c r="O98" i="1"/>
  <c r="M98" i="1"/>
  <c r="K98" i="1"/>
  <c r="I98" i="1"/>
  <c r="G98" i="1"/>
  <c r="E98" i="1"/>
  <c r="AD98" i="1"/>
  <c r="AC98" i="1"/>
  <c r="AA98" i="1"/>
  <c r="AB98" i="1"/>
  <c r="F98" i="1"/>
  <c r="T107" i="1" l="1"/>
  <c r="S107" i="1" s="1"/>
  <c r="Y107" i="1" l="1"/>
  <c r="X107" i="1"/>
  <c r="Z107" i="1"/>
  <c r="T108" i="1" s="1"/>
  <c r="R108" i="1" s="1"/>
  <c r="W107" i="1"/>
  <c r="R107" i="1"/>
  <c r="AA99" i="1"/>
  <c r="Q99" i="1"/>
  <c r="O99" i="1"/>
  <c r="M99" i="1"/>
  <c r="K99" i="1"/>
  <c r="I99" i="1"/>
  <c r="G99" i="1"/>
  <c r="E99" i="1"/>
  <c r="F99" i="1"/>
  <c r="AC99" i="1"/>
  <c r="AD99" i="1"/>
  <c r="AB99" i="1"/>
  <c r="Y108" i="1" l="1"/>
  <c r="S108" i="1"/>
  <c r="Z108" i="1"/>
  <c r="X108" i="1"/>
  <c r="W108" i="1"/>
  <c r="O100" i="1"/>
  <c r="Q100" i="1"/>
  <c r="M100" i="1"/>
  <c r="K100" i="1"/>
  <c r="I100" i="1"/>
  <c r="G100" i="1"/>
  <c r="E100" i="1"/>
  <c r="AC100" i="1"/>
  <c r="AB100" i="1"/>
  <c r="AD100" i="1"/>
  <c r="AA100" i="1"/>
  <c r="F100" i="1"/>
  <c r="T109" i="1" l="1"/>
  <c r="Y109" i="1" s="1"/>
  <c r="Z109" i="1" l="1"/>
  <c r="W109" i="1"/>
  <c r="R109" i="1"/>
  <c r="S109" i="1"/>
  <c r="X109" i="1"/>
  <c r="AC101" i="1"/>
  <c r="Q101" i="1"/>
  <c r="O101" i="1"/>
  <c r="M101" i="1"/>
  <c r="K101" i="1"/>
  <c r="G101" i="1"/>
  <c r="E101" i="1"/>
  <c r="I101" i="1"/>
  <c r="AB101" i="1"/>
  <c r="AA101" i="1"/>
  <c r="AD101" i="1"/>
  <c r="F101" i="1"/>
  <c r="T110" i="1" l="1"/>
  <c r="Y110" i="1" s="1"/>
  <c r="R110" i="1" l="1"/>
  <c r="W110" i="1"/>
  <c r="X110" i="1"/>
  <c r="T111" i="1" s="1"/>
  <c r="X111" i="1" s="1"/>
  <c r="S110" i="1"/>
  <c r="Z110" i="1"/>
  <c r="AD102" i="1"/>
  <c r="Q102" i="1"/>
  <c r="O102" i="1"/>
  <c r="M102" i="1"/>
  <c r="K102" i="1"/>
  <c r="G102" i="1"/>
  <c r="E102" i="1"/>
  <c r="I102" i="1"/>
  <c r="AC102" i="1"/>
  <c r="AB102" i="1"/>
  <c r="F102" i="1"/>
  <c r="AA102" i="1"/>
  <c r="Z111" i="1" l="1"/>
  <c r="W111" i="1"/>
  <c r="Y111" i="1"/>
  <c r="R111" i="1"/>
  <c r="S111" i="1"/>
  <c r="T112" i="1" l="1"/>
  <c r="W112" i="1" s="1"/>
  <c r="Q103" i="1"/>
  <c r="O103" i="1"/>
  <c r="M103" i="1"/>
  <c r="K103" i="1"/>
  <c r="I103" i="1"/>
  <c r="G103" i="1"/>
  <c r="E103" i="1"/>
  <c r="AA103" i="1"/>
  <c r="AC103" i="1"/>
  <c r="F103" i="1"/>
  <c r="AD103" i="1"/>
  <c r="AB103" i="1"/>
  <c r="R112" i="1" l="1"/>
  <c r="Y112" i="1"/>
  <c r="S112" i="1"/>
  <c r="Z112" i="1"/>
  <c r="X112" i="1"/>
  <c r="T113" i="1" l="1"/>
  <c r="AD104" i="1"/>
  <c r="AB104" i="1"/>
  <c r="AC104" i="1"/>
  <c r="G104" i="1"/>
  <c r="M104" i="1"/>
  <c r="E104" i="1"/>
  <c r="Q104" i="1"/>
  <c r="F104" i="1"/>
  <c r="I104" i="1"/>
  <c r="O104" i="1"/>
  <c r="AA104" i="1"/>
  <c r="K104" i="1"/>
  <c r="Y113" i="1" l="1"/>
  <c r="W113" i="1"/>
  <c r="S113" i="1"/>
  <c r="X113" i="1"/>
  <c r="Z113" i="1"/>
  <c r="R113" i="1"/>
  <c r="Q105" i="1"/>
  <c r="I105" i="1"/>
  <c r="E105" i="1"/>
  <c r="AB105" i="1"/>
  <c r="O105" i="1"/>
  <c r="F105" i="1"/>
  <c r="K105" i="1"/>
  <c r="M105" i="1"/>
  <c r="G105" i="1"/>
  <c r="AC105" i="1"/>
  <c r="AA105" i="1"/>
  <c r="AD105" i="1"/>
  <c r="T114" i="1" l="1"/>
  <c r="Q106" i="1"/>
  <c r="O106" i="1"/>
  <c r="K106" i="1"/>
  <c r="M106" i="1"/>
  <c r="I106" i="1"/>
  <c r="G106" i="1"/>
  <c r="E106" i="1"/>
  <c r="AB106" i="1"/>
  <c r="AC106" i="1"/>
  <c r="AA106" i="1"/>
  <c r="F106" i="1"/>
  <c r="AD106" i="1"/>
  <c r="S114" i="1" l="1"/>
  <c r="Y114" i="1"/>
  <c r="R114" i="1"/>
  <c r="X114" i="1"/>
  <c r="W114" i="1"/>
  <c r="Z114" i="1"/>
  <c r="G107" i="1"/>
  <c r="AC107" i="1"/>
  <c r="AA107" i="1"/>
  <c r="T115" i="1" l="1"/>
  <c r="R115" i="1" s="1"/>
  <c r="K107" i="1"/>
  <c r="AB107" i="1"/>
  <c r="AD107" i="1"/>
  <c r="E107" i="1"/>
  <c r="M107" i="1"/>
  <c r="O107" i="1"/>
  <c r="F107" i="1"/>
  <c r="I107" i="1"/>
  <c r="Q107" i="1"/>
  <c r="X115" i="1" l="1"/>
  <c r="Y115" i="1"/>
  <c r="W115" i="1"/>
  <c r="T116" i="1" s="1"/>
  <c r="Z115" i="1"/>
  <c r="S115" i="1"/>
  <c r="AB108" i="1"/>
  <c r="I108" i="1"/>
  <c r="O108" i="1"/>
  <c r="AC108" i="1"/>
  <c r="E108" i="1"/>
  <c r="M108" i="1"/>
  <c r="F108" i="1"/>
  <c r="K108" i="1"/>
  <c r="AA108" i="1"/>
  <c r="AD108" i="1"/>
  <c r="G108" i="1"/>
  <c r="Q108" i="1"/>
  <c r="S116" i="1" l="1"/>
  <c r="X116" i="1"/>
  <c r="Z116" i="1"/>
  <c r="W116" i="1"/>
  <c r="R116" i="1"/>
  <c r="Y116" i="1"/>
  <c r="T117" i="1"/>
  <c r="R117" i="1" s="1"/>
  <c r="Q109" i="1"/>
  <c r="O109" i="1"/>
  <c r="M109" i="1"/>
  <c r="K109" i="1"/>
  <c r="I109" i="1"/>
  <c r="G109" i="1"/>
  <c r="E109" i="1"/>
  <c r="F109" i="1"/>
  <c r="AB109" i="1"/>
  <c r="AA109" i="1"/>
  <c r="AD109" i="1"/>
  <c r="AC109" i="1"/>
  <c r="Y117" i="1" l="1"/>
  <c r="X117" i="1"/>
  <c r="Z117" i="1"/>
  <c r="S117" i="1"/>
  <c r="W117" i="1"/>
  <c r="T118" i="1" l="1"/>
  <c r="R118" i="1" s="1"/>
  <c r="Q110" i="1"/>
  <c r="O110" i="1"/>
  <c r="K110" i="1"/>
  <c r="M110" i="1"/>
  <c r="G110" i="1"/>
  <c r="E110" i="1"/>
  <c r="I110" i="1"/>
  <c r="AA110" i="1"/>
  <c r="AB110" i="1"/>
  <c r="AD110" i="1"/>
  <c r="F110" i="1"/>
  <c r="AC110" i="1"/>
  <c r="S118" i="1" l="1"/>
  <c r="W118" i="1"/>
  <c r="X118" i="1"/>
  <c r="Y118" i="1"/>
  <c r="Z118" i="1"/>
  <c r="T119" i="1" l="1"/>
  <c r="AC111" i="1"/>
  <c r="Q111" i="1"/>
  <c r="O111" i="1"/>
  <c r="M111" i="1"/>
  <c r="K111" i="1"/>
  <c r="I111" i="1"/>
  <c r="G111" i="1"/>
  <c r="E111" i="1"/>
  <c r="AD111" i="1"/>
  <c r="AA111" i="1"/>
  <c r="AB111" i="1"/>
  <c r="F111" i="1"/>
  <c r="W119" i="1" l="1"/>
  <c r="X119" i="1"/>
  <c r="Y119" i="1"/>
  <c r="Z119" i="1"/>
  <c r="S119" i="1"/>
  <c r="R119" i="1"/>
  <c r="T120" i="1" l="1"/>
  <c r="W120" i="1" s="1"/>
  <c r="Q112" i="1"/>
  <c r="M112" i="1"/>
  <c r="O112" i="1"/>
  <c r="K112" i="1"/>
  <c r="I112" i="1"/>
  <c r="E112" i="1"/>
  <c r="G112" i="1"/>
  <c r="AD112" i="1"/>
  <c r="AA112" i="1"/>
  <c r="AB112" i="1"/>
  <c r="AC112" i="1"/>
  <c r="F112" i="1"/>
  <c r="Z120" i="1" l="1"/>
  <c r="S120" i="1"/>
  <c r="X120" i="1"/>
  <c r="T121" i="1" s="1"/>
  <c r="Y120" i="1"/>
  <c r="R120" i="1"/>
  <c r="X121" i="1" l="1"/>
  <c r="W121" i="1"/>
  <c r="S121" i="1"/>
  <c r="Y121" i="1"/>
  <c r="Z121" i="1"/>
  <c r="R121" i="1"/>
  <c r="AA113" i="1"/>
  <c r="AD113" i="1"/>
  <c r="AC113" i="1"/>
  <c r="F113" i="1"/>
  <c r="K113" i="1"/>
  <c r="E113" i="1"/>
  <c r="M113" i="1"/>
  <c r="AB113" i="1"/>
  <c r="G113" i="1"/>
  <c r="O113" i="1"/>
  <c r="I113" i="1"/>
  <c r="Q113" i="1"/>
  <c r="T122" i="1" l="1"/>
  <c r="AC114" i="1"/>
  <c r="AB114" i="1"/>
  <c r="AA114" i="1"/>
  <c r="AD114" i="1"/>
  <c r="F114" i="1"/>
  <c r="Q114" i="1"/>
  <c r="O114" i="1"/>
  <c r="K114" i="1"/>
  <c r="M114" i="1"/>
  <c r="I114" i="1"/>
  <c r="G114" i="1"/>
  <c r="E114" i="1"/>
  <c r="W122" i="1" l="1"/>
  <c r="R122" i="1"/>
  <c r="Z122" i="1"/>
  <c r="Y122" i="1"/>
  <c r="X122" i="1"/>
  <c r="S122" i="1"/>
  <c r="T123" i="1" l="1"/>
  <c r="W123" i="1" s="1"/>
  <c r="F115" i="1"/>
  <c r="AC115" i="1"/>
  <c r="E115" i="1"/>
  <c r="AD115" i="1"/>
  <c r="K115" i="1"/>
  <c r="M115" i="1"/>
  <c r="AA115" i="1"/>
  <c r="G115" i="1"/>
  <c r="O115" i="1"/>
  <c r="AB115" i="1"/>
  <c r="I115" i="1"/>
  <c r="Q115" i="1"/>
  <c r="X123" i="1" l="1"/>
  <c r="R123" i="1"/>
  <c r="S123" i="1"/>
  <c r="Y123" i="1"/>
  <c r="Z123" i="1"/>
  <c r="T124" i="1" s="1"/>
  <c r="K116" i="1"/>
  <c r="I116" i="1"/>
  <c r="AC116" i="1"/>
  <c r="Y124" i="1" l="1"/>
  <c r="Z124" i="1"/>
  <c r="W124" i="1"/>
  <c r="S124" i="1"/>
  <c r="X124" i="1"/>
  <c r="R124" i="1"/>
  <c r="T125" i="1"/>
  <c r="Z125" i="1" s="1"/>
  <c r="AA116" i="1"/>
  <c r="E116" i="1"/>
  <c r="AB116" i="1"/>
  <c r="Q116" i="1"/>
  <c r="M116" i="1"/>
  <c r="O116" i="1"/>
  <c r="F116" i="1"/>
  <c r="G116" i="1"/>
  <c r="AD116" i="1"/>
  <c r="X125" i="1" l="1"/>
  <c r="Y125" i="1"/>
  <c r="W125" i="1"/>
  <c r="R125" i="1"/>
  <c r="S125" i="1"/>
  <c r="AC117" i="1"/>
  <c r="F117" i="1"/>
  <c r="AB117" i="1"/>
  <c r="AA117" i="1"/>
  <c r="E117" i="1"/>
  <c r="G117" i="1"/>
  <c r="O117" i="1"/>
  <c r="I117" i="1"/>
  <c r="Q117" i="1"/>
  <c r="K117" i="1"/>
  <c r="AD117" i="1"/>
  <c r="M117" i="1"/>
  <c r="Q118" i="1" l="1"/>
  <c r="G118" i="1"/>
  <c r="AD118" i="1"/>
  <c r="AB118" i="1"/>
  <c r="AA118" i="1"/>
  <c r="O118" i="1"/>
  <c r="K118" i="1"/>
  <c r="I118" i="1"/>
  <c r="M118" i="1"/>
  <c r="AC118" i="1"/>
  <c r="F118" i="1"/>
  <c r="E118" i="1"/>
  <c r="M119" i="1" l="1"/>
  <c r="I119" i="1"/>
  <c r="E119" i="1"/>
  <c r="G119" i="1" l="1"/>
  <c r="Q119" i="1"/>
  <c r="K119" i="1"/>
  <c r="O119" i="1"/>
  <c r="AA119" i="1"/>
  <c r="F119" i="1"/>
  <c r="AB119" i="1"/>
  <c r="AC119" i="1"/>
  <c r="AD119" i="1"/>
  <c r="E120" i="1"/>
  <c r="G120" i="1"/>
  <c r="AD120" i="1"/>
  <c r="AB120" i="1"/>
  <c r="AA120" i="1" l="1"/>
  <c r="I120" i="1"/>
  <c r="Q120" i="1"/>
  <c r="F120" i="1"/>
  <c r="AC120" i="1"/>
  <c r="K120" i="1"/>
  <c r="O120" i="1"/>
  <c r="M120" i="1"/>
  <c r="AD121" i="1" l="1"/>
  <c r="AC121" i="1"/>
  <c r="O121" i="1"/>
  <c r="AA121" i="1"/>
  <c r="Q121" i="1"/>
  <c r="K121" i="1"/>
  <c r="I121" i="1"/>
  <c r="F121" i="1"/>
  <c r="M121" i="1"/>
  <c r="G121" i="1"/>
  <c r="AB121" i="1"/>
  <c r="E121" i="1"/>
  <c r="E122" i="1" l="1"/>
  <c r="M122" i="1"/>
  <c r="AB122" i="1"/>
  <c r="F122" i="1"/>
  <c r="I122" i="1"/>
  <c r="AA122" i="1"/>
  <c r="Q122" i="1"/>
  <c r="O122" i="1"/>
  <c r="G122" i="1"/>
  <c r="K122" i="1"/>
  <c r="AC122" i="1"/>
  <c r="AD122" i="1"/>
  <c r="F123" i="1" l="1"/>
  <c r="M123" i="1"/>
  <c r="E123" i="1"/>
  <c r="AA123" i="1"/>
  <c r="K123" i="1"/>
  <c r="AB123" i="1"/>
  <c r="Q123" i="1"/>
  <c r="I123" i="1"/>
  <c r="O123" i="1"/>
  <c r="G123" i="1"/>
  <c r="AD123" i="1"/>
  <c r="AC123" i="1"/>
  <c r="Q124" i="1" l="1"/>
  <c r="M124" i="1"/>
  <c r="AA124" i="1"/>
  <c r="AD124" i="1"/>
  <c r="F124" i="1"/>
  <c r="AB124" i="1"/>
  <c r="K124" i="1"/>
  <c r="O124" i="1"/>
  <c r="AC124" i="1"/>
  <c r="I124" i="1"/>
  <c r="G124" i="1"/>
  <c r="E124" i="1"/>
  <c r="M125" i="1"/>
  <c r="G125" i="1"/>
  <c r="F125" i="1"/>
  <c r="AA125" i="1"/>
  <c r="AC125" i="1" l="1"/>
  <c r="E125" i="1"/>
  <c r="O125" i="1"/>
  <c r="AB125" i="1"/>
  <c r="I125" i="1"/>
  <c r="Q125" i="1"/>
  <c r="AD125" i="1"/>
  <c r="K125" i="1"/>
</calcChain>
</file>

<file path=xl/sharedStrings.xml><?xml version="1.0" encoding="utf-8"?>
<sst xmlns="http://schemas.openxmlformats.org/spreadsheetml/2006/main" count="34" uniqueCount="33">
  <si>
    <t>base ip</t>
  </si>
  <si>
    <t>nid engine</t>
  </si>
  <si>
    <t>last pc ip engine</t>
  </si>
  <si>
    <t>Network ID</t>
  </si>
  <si>
    <t>First IP/Gateway IP</t>
  </si>
  <si>
    <t>Last IP/Last PC IP</t>
  </si>
  <si>
    <t>Is CLASSFULL?</t>
  </si>
  <si>
    <t>BroadCast ID</t>
  </si>
  <si>
    <t>NUMBER of host on a Network</t>
  </si>
  <si>
    <t>NOTE: NOT ADVISABLE AS EXACT ANSWER, USE THIS FOR CHECKING ONLY</t>
  </si>
  <si>
    <t>Specify nth PC</t>
  </si>
  <si>
    <t>nth PC IP COMPUTER</t>
  </si>
  <si>
    <t>nth PC IP ENGINE</t>
  </si>
  <si>
    <t>1st PC IP</t>
  </si>
  <si>
    <t>Subnet Mask</t>
  </si>
  <si>
    <t>CIDR</t>
  </si>
  <si>
    <r>
      <t>Increment(</t>
    </r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)</t>
    </r>
  </si>
  <si>
    <t>Network</t>
  </si>
  <si>
    <t>no</t>
  </si>
  <si>
    <t>IP Address</t>
  </si>
  <si>
    <r>
      <t>INSTRUCTION: ONLY MODIFY BASE IP(format 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.O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 and NUMBER OF HOSTS</t>
    </r>
  </si>
  <si>
    <t>Comment Box</t>
  </si>
  <si>
    <t>Router CLI</t>
  </si>
  <si>
    <t>en</t>
  </si>
  <si>
    <t>conf t</t>
  </si>
  <si>
    <t>int fa0/0</t>
  </si>
  <si>
    <t>exit</t>
  </si>
  <si>
    <t>int se0/1/0</t>
  </si>
  <si>
    <t>clock rate 64000</t>
  </si>
  <si>
    <t>no shut</t>
  </si>
  <si>
    <t>ip add 192.168.0.1 255.255.255.0</t>
  </si>
  <si>
    <t>ip add 192.168.4.0 255.255.255.0</t>
  </si>
  <si>
    <t>ip route 192.168.0.0 255.255.255.252 192.168.0.5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</si>
</sst>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FF"/>
      </left>
      <right style="medium">
        <color rgb="FFFF00FF"/>
      </right>
      <top/>
      <bottom/>
      <diagonal/>
    </border>
    <border>
      <left style="medium">
        <color rgb="FFFF00FF"/>
      </left>
      <right style="medium">
        <color rgb="FFFF00FF"/>
      </right>
      <top/>
      <bottom style="medium">
        <color rgb="FFFF00F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FF00FF"/>
      </left>
      <right style="medium">
        <color rgb="FFFF00FF"/>
      </right>
      <top style="medium">
        <color rgb="FFFF00FF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C000"/>
      </left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/>
      <bottom/>
      <diagonal/>
    </border>
    <border>
      <left style="medium">
        <color rgb="FF00B050"/>
      </left>
      <right style="medium">
        <color rgb="FF00B050"/>
      </right>
      <top/>
      <bottom/>
      <diagonal/>
    </border>
    <border>
      <left style="medium">
        <color rgb="FF00B050"/>
      </left>
      <right style="medium">
        <color rgb="FF00B050"/>
      </right>
      <top/>
      <bottom style="medium">
        <color rgb="FF00B050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Border="1" applyProtection="1"/>
    <xf numFmtId="0" fontId="0" fillId="0" borderId="3" xfId="0" applyBorder="1" applyProtection="1"/>
    <xf numFmtId="0" fontId="0" fillId="0" borderId="0" xfId="0" applyProtection="1"/>
    <xf numFmtId="0" fontId="0" fillId="0" borderId="4" xfId="0" applyBorder="1" applyProtection="1"/>
    <xf numFmtId="0" fontId="0" fillId="0" borderId="0" xfId="0" applyBorder="1" applyAlignment="1" applyProtection="1"/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Fill="1" applyBorder="1" applyProtection="1"/>
    <xf numFmtId="0" fontId="0" fillId="0" borderId="12" xfId="0" applyBorder="1" applyProtection="1"/>
    <xf numFmtId="0" fontId="0" fillId="0" borderId="13" xfId="0" applyBorder="1" applyProtection="1"/>
    <xf numFmtId="1" fontId="0" fillId="0" borderId="0" xfId="0" applyNumberFormat="1" applyProtection="1"/>
    <xf numFmtId="1" fontId="0" fillId="0" borderId="11" xfId="0" applyNumberFormat="1" applyBorder="1" applyAlignment="1" applyProtection="1">
      <alignment horizontal="center"/>
      <protection locked="0"/>
    </xf>
    <xf numFmtId="1" fontId="0" fillId="0" borderId="12" xfId="0" applyNumberFormat="1" applyBorder="1" applyAlignment="1" applyProtection="1">
      <alignment horizontal="center"/>
      <protection locked="0"/>
    </xf>
    <xf numFmtId="1" fontId="0" fillId="0" borderId="17" xfId="0" applyNumberFormat="1" applyBorder="1" applyProtection="1"/>
    <xf numFmtId="1" fontId="0" fillId="0" borderId="0" xfId="0" applyNumberFormat="1" applyBorder="1" applyProtection="1"/>
    <xf numFmtId="1" fontId="0" fillId="0" borderId="18" xfId="0" applyNumberFormat="1" applyBorder="1" applyProtection="1"/>
    <xf numFmtId="0" fontId="0" fillId="0" borderId="19" xfId="0" applyBorder="1" applyProtection="1"/>
    <xf numFmtId="49" fontId="0" fillId="0" borderId="20" xfId="0" applyNumberFormat="1" applyBorder="1" applyProtection="1">
      <protection locked="0"/>
    </xf>
    <xf numFmtId="0" fontId="7" fillId="0" borderId="14" xfId="0" applyNumberFormat="1" applyFont="1" applyBorder="1" applyProtection="1"/>
    <xf numFmtId="0" fontId="7" fillId="0" borderId="9" xfId="0" applyNumberFormat="1" applyFont="1" applyBorder="1" applyProtection="1"/>
    <xf numFmtId="0" fontId="7" fillId="0" borderId="10" xfId="0" applyNumberFormat="1" applyFont="1" applyBorder="1" applyProtection="1"/>
    <xf numFmtId="0" fontId="3" fillId="0" borderId="8" xfId="0" applyNumberFormat="1" applyFont="1" applyBorder="1" applyProtection="1"/>
    <xf numFmtId="0" fontId="4" fillId="0" borderId="7" xfId="0" applyNumberFormat="1" applyFont="1" applyBorder="1" applyProtection="1"/>
    <xf numFmtId="0" fontId="0" fillId="0" borderId="6" xfId="0" applyNumberFormat="1" applyBorder="1" applyProtection="1"/>
    <xf numFmtId="0" fontId="5" fillId="0" borderId="5" xfId="0" applyNumberFormat="1" applyFont="1" applyBorder="1" applyProtection="1"/>
    <xf numFmtId="0" fontId="0" fillId="0" borderId="0" xfId="0" applyNumberFormat="1" applyProtection="1"/>
    <xf numFmtId="0" fontId="0" fillId="0" borderId="14" xfId="0" applyBorder="1" applyProtection="1"/>
    <xf numFmtId="1" fontId="0" fillId="0" borderId="17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0" fillId="0" borderId="18" xfId="0" applyNumberFormat="1" applyBorder="1" applyAlignment="1" applyProtection="1">
      <alignment horizontal="center"/>
    </xf>
    <xf numFmtId="1" fontId="0" fillId="0" borderId="21" xfId="0" applyNumberFormat="1" applyBorder="1" applyProtection="1"/>
    <xf numFmtId="1" fontId="0" fillId="0" borderId="22" xfId="0" applyNumberFormat="1" applyBorder="1" applyProtection="1"/>
    <xf numFmtId="1" fontId="0" fillId="0" borderId="23" xfId="0" applyNumberFormat="1" applyBorder="1" applyProtection="1"/>
    <xf numFmtId="1" fontId="0" fillId="0" borderId="24" xfId="0" applyNumberFormat="1" applyBorder="1" applyProtection="1"/>
    <xf numFmtId="1" fontId="0" fillId="0" borderId="25" xfId="0" applyNumberFormat="1" applyBorder="1" applyProtection="1"/>
    <xf numFmtId="1" fontId="0" fillId="0" borderId="26" xfId="0" applyNumberFormat="1" applyBorder="1" applyProtection="1"/>
    <xf numFmtId="1" fontId="0" fillId="0" borderId="27" xfId="0" applyNumberFormat="1" applyBorder="1" applyProtection="1"/>
    <xf numFmtId="0" fontId="0" fillId="0" borderId="33" xfId="0" applyBorder="1" applyProtection="1"/>
    <xf numFmtId="1" fontId="0" fillId="0" borderId="12" xfId="0" applyNumberFormat="1" applyFill="1" applyBorder="1" applyAlignment="1" applyProtection="1">
      <alignment horizontal="center"/>
      <protection locked="0"/>
    </xf>
    <xf numFmtId="0" fontId="0" fillId="0" borderId="7" xfId="0" applyBorder="1" applyProtection="1"/>
    <xf numFmtId="0" fontId="4" fillId="0" borderId="35" xfId="0" applyNumberFormat="1" applyFont="1" applyBorder="1" applyProtection="1"/>
    <xf numFmtId="0" fontId="4" fillId="0" borderId="36" xfId="0" applyNumberFormat="1" applyFont="1" applyBorder="1" applyProtection="1"/>
    <xf numFmtId="0" fontId="3" fillId="0" borderId="37" xfId="0" applyNumberFormat="1" applyFont="1" applyBorder="1" applyProtection="1"/>
    <xf numFmtId="0" fontId="0" fillId="0" borderId="38" xfId="0" applyNumberFormat="1" applyBorder="1" applyProtection="1"/>
    <xf numFmtId="0" fontId="0" fillId="0" borderId="39" xfId="0" applyNumberFormat="1" applyBorder="1" applyProtection="1"/>
    <xf numFmtId="0" fontId="0" fillId="0" borderId="5" xfId="0" applyBorder="1" applyProtection="1"/>
    <xf numFmtId="0" fontId="5" fillId="0" borderId="40" xfId="0" applyNumberFormat="1" applyFont="1" applyBorder="1" applyProtection="1"/>
    <xf numFmtId="0" fontId="5" fillId="0" borderId="41" xfId="0" applyNumberFormat="1" applyFont="1" applyBorder="1" applyProtection="1"/>
    <xf numFmtId="0" fontId="6" fillId="0" borderId="43" xfId="0" applyNumberFormat="1" applyFont="1" applyFill="1" applyBorder="1" applyProtection="1"/>
    <xf numFmtId="0" fontId="6" fillId="0" borderId="44" xfId="0" applyNumberFormat="1" applyFont="1" applyFill="1" applyBorder="1" applyProtection="1"/>
    <xf numFmtId="0" fontId="6" fillId="0" borderId="45" xfId="0" applyNumberFormat="1" applyFont="1" applyFill="1" applyBorder="1" applyProtection="1"/>
    <xf numFmtId="0" fontId="0" fillId="0" borderId="42" xfId="0" applyBorder="1" applyProtection="1"/>
    <xf numFmtId="0" fontId="0" fillId="0" borderId="34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28" xfId="0" applyFill="1" applyBorder="1" applyAlignment="1" applyProtection="1">
      <alignment horizontal="center"/>
    </xf>
    <xf numFmtId="0" fontId="0" fillId="0" borderId="29" xfId="0" applyFill="1" applyBorder="1" applyAlignment="1" applyProtection="1">
      <alignment horizontal="center"/>
    </xf>
    <xf numFmtId="0" fontId="0" fillId="0" borderId="30" xfId="0" applyFill="1" applyBorder="1" applyAlignment="1" applyProtection="1">
      <alignment horizontal="center"/>
    </xf>
    <xf numFmtId="0" fontId="0" fillId="0" borderId="31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0" fillId="0" borderId="30" xfId="0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26"/>
  <sheetViews>
    <sheetView topLeftCell="F1" workbookViewId="0">
      <selection activeCell="A2" sqref="A2:I2"/>
    </sheetView>
  </sheetViews>
  <sheetFormatPr defaultRowHeight="15" x14ac:dyDescent="0.25"/>
  <cols>
    <col min="1" max="1" width="13.5703125" style="11" bestFit="1" customWidth="1"/>
    <col min="2" max="2" width="28.140625" style="3" bestFit="1" customWidth="1"/>
    <col min="3" max="3" width="13.7109375" style="11" bestFit="1" customWidth="1"/>
    <col min="4" max="4" width="13.7109375" style="3" bestFit="1" customWidth="1"/>
    <col min="5" max="5" width="19.42578125" style="3" bestFit="1" customWidth="1"/>
    <col min="6" max="6" width="11" style="3" bestFit="1" customWidth="1"/>
    <col min="7" max="7" width="13.28515625" style="3" bestFit="1" customWidth="1"/>
    <col min="8" max="8" width="3.28515625" style="3" bestFit="1" customWidth="1"/>
    <col min="9" max="9" width="18" style="3" bestFit="1" customWidth="1"/>
    <col min="10" max="11" width="8.42578125" style="3" bestFit="1" customWidth="1"/>
    <col min="12" max="13" width="15.85546875" style="3" bestFit="1" customWidth="1"/>
    <col min="14" max="15" width="12.28515625" style="3" bestFit="1" customWidth="1"/>
    <col min="16" max="17" width="12.140625" style="3" bestFit="1" customWidth="1"/>
    <col min="18" max="18" width="5.140625" style="3" bestFit="1" customWidth="1"/>
    <col min="19" max="19" width="12.7109375" style="3" bestFit="1" customWidth="1"/>
    <col min="20" max="20" width="8.7109375" style="3" bestFit="1" customWidth="1"/>
    <col min="21" max="21" width="9.140625" style="3"/>
    <col min="22" max="22" width="2" style="3" customWidth="1"/>
    <col min="23" max="27" width="2" style="3" hidden="1" customWidth="1"/>
    <col min="28" max="30" width="4" style="3" hidden="1" customWidth="1"/>
    <col min="31" max="31" width="11.28515625" style="3" hidden="1" customWidth="1"/>
    <col min="32" max="32" width="9.28515625" style="3" hidden="1" customWidth="1"/>
    <col min="33" max="33" width="14.28515625" style="3" hidden="1" customWidth="1"/>
    <col min="34" max="34" width="9.140625" style="3" hidden="1" customWidth="1"/>
    <col min="35" max="16384" width="9.140625" style="3"/>
  </cols>
  <sheetData>
    <row r="1" spans="1:34" ht="15.75" thickBot="1" x14ac:dyDescent="0.3">
      <c r="A1" s="17" t="s">
        <v>0</v>
      </c>
      <c r="B1" s="18"/>
      <c r="C1" s="3"/>
      <c r="G1" s="3" t="s">
        <v>6</v>
      </c>
      <c r="H1" s="7" t="s">
        <v>18</v>
      </c>
      <c r="I1" s="6"/>
    </row>
    <row r="2" spans="1:34" ht="18" x14ac:dyDescent="0.35">
      <c r="A2" s="65" t="s">
        <v>20</v>
      </c>
      <c r="B2" s="65"/>
      <c r="C2" s="65"/>
      <c r="D2" s="65"/>
      <c r="E2" s="65"/>
      <c r="F2" s="65"/>
      <c r="G2" s="65"/>
      <c r="H2" s="65"/>
      <c r="I2" s="65"/>
      <c r="J2" s="1"/>
      <c r="W2" s="62" t="s">
        <v>19</v>
      </c>
      <c r="X2" s="63"/>
      <c r="Y2" s="63"/>
      <c r="Z2" s="64"/>
    </row>
    <row r="3" spans="1:34" ht="15.75" thickBot="1" x14ac:dyDescent="0.3">
      <c r="A3" s="65" t="s">
        <v>9</v>
      </c>
      <c r="B3" s="65"/>
      <c r="C3" s="65"/>
      <c r="D3" s="65"/>
      <c r="E3" s="65"/>
      <c r="F3" s="65"/>
      <c r="G3" s="65"/>
      <c r="H3" s="65"/>
      <c r="I3" s="65"/>
      <c r="W3" s="28">
        <f>IFERROR(IF(LEFT($B$1,FIND(".",$B$1)-1)&lt;0,256+MOD(LEFT($B$1,FIND(".",$B$1)-1),256),IF(LEFT($B$1,FIND(".",$B$1)-1)&gt;255,MOD(LEFT($B$1,FIND(".",$B$1)-1),256),LEFT($B$1,FIND(".",$B$1)-1))),0)</f>
        <v>0</v>
      </c>
      <c r="X3" s="29">
        <f>IFERROR(IF(MID($B$1,FIND(".",$B$1)+1,FIND(".",$B$1,FIND(".",$B$1)+1)-FIND(".",$B$1)-1)&lt;0,256+MOD(MID($B$1,FIND(".",$B$1)+1,FIND(".",$B$1,FIND(".",$B$1)+1)-FIND(".",$B$1)-1),256),IF(MID($B$1,FIND(".",$B$1)+1,FIND(".",$B$1,FIND(".",$B$1)+1)-FIND(".",$B$1)-1)&gt;255,MOD(MID($B$1,FIND(".",$B$1)+1,FIND(".",$B$1,FIND(".",$B$1)+1)-FIND(".",$B$1)-1),256),MID($B$1,FIND(".",$B$1)+1,FIND(".",$B$1,FIND(".",$B$1)+1)-FIND(".",$B$1)-1))),0)</f>
        <v>0</v>
      </c>
      <c r="Y3" s="29">
        <f>IFERROR(IF(MID($B$1,FIND(".",$B$1,FIND(".",$B$1)+1)+1,FIND(".",$B$1,FIND(".",$B$1,FIND(".",$B$1)+1)+1)-(FIND(".",$B$1,FIND(".",$B$1)+1)+1))&lt;0,256+MOD(MID($B$1,FIND(".",$B$1,FIND(".",$B$1)+1)+1,FIND(".",$B$1,FIND(".",$B$1,FIND(".",$B$1)+1)+1)-(FIND(".",$B$1,FIND(".",$B$1)+1)+1)),256),IF(MID($B$1,FIND(".",$B$1,FIND(".",$B$1)+1)+1,FIND(".",$B$1,FIND(".",$B$1,FIND(".",$B$1)+1)+1)-(FIND(".",$B$1,FIND(".",$B$1)+1)+1))&gt;255,MOD(MID($B$1,FIND(".",$B$1,FIND(".",$B$1)+1)+1,FIND(".",$B$1,FIND(".",$B$1,FIND(".",$B$1)+1)+1)-(FIND(".",$B$1,FIND(".",$B$1)+1)+1)),256),MID($B$1,FIND(".",$B$1,FIND(".",$B$1)+1)+1,FIND(".",$B$1,FIND(".",$B$1,FIND(".",$B$1)+1)+1)-(FIND(".",$B$1,FIND(".",$B$1)+1)+1)))),0)</f>
        <v>0</v>
      </c>
      <c r="Z3" s="30">
        <f>IFERROR(IF(MID($B$1,FIND(".",$B$1,FIND(".",$B$1,FIND(".",$B$1)+1)+1)+1,LEN($B$1)-FIND(".",$B$1,FIND(".",$B$1,FIND(".",$B$1)+1)+1))&lt;0,256+MOD(MID($B$1,FIND(".",$B$1,FIND(".",$B$1,FIND(".",$B$1)+1)+1)+1,LEN($B$1)-FIND(".",$B$1,FIND(".",$B$1,FIND(".",$B$1)+1)+1)),256),IF(MID($B$1,FIND(".",$B$1,FIND(".",$B$1,FIND(".",$B$1)+1)+1)+1,LEN($B$1)-FIND(".",$B$1,FIND(".",$B$1,FIND(".",$B$1)+1)+1))&gt;255,MOD(MID($B$1,FIND(".",$B$1,FIND(".",$B$1,FIND(".",$B$1)+1)+1)+1,LEN($B$1)-FIND(".",$B$1,FIND(".",$B$1,FIND(".",$B$1)+1)+1)),256),MID($B$1,FIND(".",$B$1,FIND(".",$B$1,FIND(".",$B$1)+1)+1)+1,LEN($B$1)-FIND(".",$B$1,FIND(".",$B$1,FIND(".",$B$1)+1)+1)))),0)</f>
        <v>0</v>
      </c>
    </row>
    <row r="4" spans="1:34" ht="15.75" thickBot="1" x14ac:dyDescent="0.3">
      <c r="A4" s="17" t="s">
        <v>21</v>
      </c>
      <c r="B4" s="38" t="s">
        <v>8</v>
      </c>
      <c r="C4" s="3"/>
      <c r="D4" s="10" t="s">
        <v>10</v>
      </c>
      <c r="E4" s="27" t="s">
        <v>11</v>
      </c>
      <c r="F4" s="1"/>
      <c r="G4" s="2" t="s">
        <v>3</v>
      </c>
      <c r="I4" s="40" t="s">
        <v>4</v>
      </c>
      <c r="J4" s="8"/>
      <c r="K4" s="4" t="s">
        <v>13</v>
      </c>
      <c r="M4" s="46" t="s">
        <v>5</v>
      </c>
      <c r="N4" s="1"/>
      <c r="O4" s="52" t="s">
        <v>14</v>
      </c>
      <c r="P4" s="1"/>
      <c r="Q4" s="3" t="s">
        <v>7</v>
      </c>
      <c r="R4" s="3" t="s">
        <v>15</v>
      </c>
      <c r="S4" s="3" t="s">
        <v>16</v>
      </c>
      <c r="T4" s="3" t="s">
        <v>17</v>
      </c>
      <c r="V4" s="5"/>
      <c r="W4" s="55" t="s">
        <v>1</v>
      </c>
      <c r="X4" s="56"/>
      <c r="Y4" s="56"/>
      <c r="Z4" s="57"/>
      <c r="AA4" s="58" t="s">
        <v>2</v>
      </c>
      <c r="AB4" s="59"/>
      <c r="AC4" s="59"/>
      <c r="AD4" s="60"/>
      <c r="AE4" s="58" t="s">
        <v>12</v>
      </c>
      <c r="AF4" s="59"/>
      <c r="AG4" s="59"/>
      <c r="AH4" s="61"/>
    </row>
    <row r="5" spans="1:34" x14ac:dyDescent="0.25">
      <c r="A5" s="53"/>
      <c r="B5" s="12"/>
      <c r="C5" s="9"/>
      <c r="D5" s="12"/>
      <c r="E5" s="19" t="str">
        <f t="shared" ref="E5:E36" si="0">IF(OR($T5="",$D5=""),"",IF($D5&gt;$B5,"INVALID Value! Max: " &amp; $B5,$AE5 &amp; "." &amp; $AF5 &amp; "." &amp;$AG5&amp;"."&amp;$AH5))</f>
        <v/>
      </c>
      <c r="F5" s="3" t="str">
        <f t="shared" ref="F5:F36" si="1">IF(T5="","",IF(OR(_xlfn.DECIMAL($W5,10)&gt;255,OR(_xlfn.DECIMAL($X5,10)&gt;255,OR(_xlfn.DECIMAL($Y5,10)&gt;255,_xlfn.DECIMAL($Z5,10)&gt;255))),"INVALID NETWORK!",""))</f>
        <v/>
      </c>
      <c r="G5" s="22" t="str">
        <f t="shared" ref="G5:G36" si="2">IF($T5="","",$W5 &amp; "." &amp; $X5 &amp; "." &amp;$Y5&amp;"."&amp;$Z5)</f>
        <v/>
      </c>
      <c r="I5" s="23" t="str">
        <f t="shared" ref="I5:I36" si="3">IF($T5="","",$W5 &amp; "." &amp; $X5 &amp; "." &amp;$Y5&amp;"."&amp; $Z5+1)</f>
        <v/>
      </c>
      <c r="K5" s="24" t="str">
        <f t="shared" ref="K5:K36" si="4">IF($T5="","",$W5 &amp; "." &amp; $X5 &amp; "." &amp;$Y5&amp;"."&amp; $Z5+2)</f>
        <v/>
      </c>
      <c r="M5" s="25" t="str">
        <f t="shared" ref="M5:M36" si="5">IF($T5="","",$AA5 &amp; "." &amp; $AB5 &amp; "." &amp;$AC5&amp;"."&amp;$AD5)</f>
        <v/>
      </c>
      <c r="O5" s="49" t="str">
        <f t="shared" ref="O5:O36" si="6">IF($T5="","",IF($R5&gt;8,255 &amp; "." &amp; IF($R5&gt;16,255 &amp; "." &amp; IF($R5&gt;24,255 &amp; "." &amp; IF($R5&gt;24,BIN2DEC(REPT(1,$R5-24) &amp; REPT(0,32-$R5)),0),BIN2DEC(REPT(1,$R5-16) &amp; REPT(0,24-$R5)) &amp; ".0"),BIN2DEC(REPT(1,$R5-8) &amp; REPT(0,16-$R5)) &amp; ".0.0"),BIN2DEC(REPT(1,$R5-0) &amp; REPT(0,8-$R5)) &amp; ".0.0.0"))</f>
        <v/>
      </c>
      <c r="Q5" s="26" t="str">
        <f t="shared" ref="Q5:Q36" si="7">IF($T5="","",$AA5 &amp; "." &amp; $AB5 &amp; "." &amp;$AC5&amp;"."&amp;$AD5+1)</f>
        <v/>
      </c>
      <c r="R5" s="11" t="str">
        <f>IF($T5="","",FLOOR(32-LOG(IF($H$1="yes",MAX($B:$B),$B5)+2,2),1))</f>
        <v/>
      </c>
      <c r="S5" s="11" t="str">
        <f t="shared" ref="S5:S36" si="8">IF($T5="","",IF(MOD($R5,8)=0,1,2^(8-MOD($R5,8))))</f>
        <v/>
      </c>
      <c r="T5" s="11" t="str">
        <f t="shared" ref="T5" si="9">IF($B5="","",1)</f>
        <v/>
      </c>
      <c r="W5" s="31" t="str">
        <f>IF($T5="","",IF(AND($R5&gt;0,$R5&lt;=8),($S5*FLOOR($W$3/$S5,1))+(($T5-1)*$S5),$W$3))</f>
        <v/>
      </c>
      <c r="X5" s="15" t="str">
        <f>IF($T5="","",IF(AND($R5&gt;8,$R5&lt;=16),($S5*FLOOR($X$3/$S5,1))+(($T5-1)*$S5),IF($R5&lt;=8,0,$X$3)))</f>
        <v/>
      </c>
      <c r="Y5" s="15" t="str">
        <f>IF($T5="","",IF(AND($R5&gt;16,$R5&lt;=24),($S5*FLOOR($Y$3/$S5,1))+(($T5-1)*$S5),IF($R5&lt;=16,0,$Y$3)))</f>
        <v/>
      </c>
      <c r="Z5" s="16" t="str">
        <f>IF($T5="","",IF($R5&gt;24,($S5*FLOOR($Z$3/$S5,1))+(($T5-1)*$S5),IF($R5&lt;=24,0,$Z$3)))</f>
        <v/>
      </c>
      <c r="AA5" s="14" t="str">
        <f t="shared" ref="AA5:AA36" si="10">IF($T5="","",MOD($W5+FLOOR(((2^(32-$R5))+((256^2)*$X5)-2)/(256^3),1),256))</f>
        <v/>
      </c>
      <c r="AB5" s="15" t="str">
        <f t="shared" ref="AB5:AB36" si="11">IF($T5="","",MOD($X5+FLOOR(((2^(32-$R5))+(256*$Y5)-2)/(256^2),1),256))</f>
        <v/>
      </c>
      <c r="AC5" s="15" t="str">
        <f t="shared" ref="AC5:AC36" si="12">IF($T5="","",MOD($Y5+FLOOR(((2^(32-$R5))+$Z5-2)/256,1),256))</f>
        <v/>
      </c>
      <c r="AD5" s="16" t="str">
        <f t="shared" ref="AD5:AD36" si="13">IF($T5="","",MOD($Z5+2^(32-$R5)-2,256))</f>
        <v/>
      </c>
      <c r="AE5" s="14" t="str">
        <f t="shared" ref="AE5:AE36" si="14">IF($D5="","",MOD($W5+FLOOR(($D5+1)/(256^3),1),256))</f>
        <v/>
      </c>
      <c r="AF5" s="15" t="str">
        <f t="shared" ref="AF5:AF36" si="15">IF($D5="","",MOD($X5+FLOOR(($D5+1)/(256^2),1),256))</f>
        <v/>
      </c>
      <c r="AG5" s="15" t="str">
        <f t="shared" ref="AG5:AG36" si="16">IF($D5="","",MOD($Y5+FLOOR(($D5+1)/256,1),256))</f>
        <v/>
      </c>
      <c r="AH5" s="32" t="str">
        <f t="shared" ref="AH5:AH36" si="17">IF($D5="","",MOD($Z5+$D5+1,256))</f>
        <v/>
      </c>
    </row>
    <row r="6" spans="1:34" x14ac:dyDescent="0.25">
      <c r="A6" s="54"/>
      <c r="B6" s="13"/>
      <c r="C6" s="9"/>
      <c r="D6" s="13"/>
      <c r="E6" s="20" t="str">
        <f>IF(OR($T6="",$D6=""),"",IF($D6&gt;$B6,"INVALID Value! Max: " &amp; $B6,$AE6 &amp; "." &amp; $AF6 &amp; "." &amp;$AG6&amp;"."&amp;$AH6))</f>
        <v/>
      </c>
      <c r="F6" s="3" t="str">
        <f>IF(T6="","",IF(OR(_xlfn.DECIMAL($W6,10)&gt;255,OR(_xlfn.DECIMAL($X6,10)&gt;255,OR(_xlfn.DECIMAL($Y6,10)&gt;255,_xlfn.DECIMAL($Z6,10)&gt;255))),"INVALID NETWORK!",""))</f>
        <v/>
      </c>
      <c r="G6" s="22" t="str">
        <f>IF($T6="","",$W6 &amp; "." &amp; $X6 &amp; "." &amp;$Y6&amp;"."&amp;$Z6)</f>
        <v/>
      </c>
      <c r="I6" s="41" t="str">
        <f>IF($T6="","",$W6 &amp; "." &amp; $X6 &amp; "." &amp;$Y6&amp;"."&amp; $Z6+1)</f>
        <v/>
      </c>
      <c r="K6" s="45" t="str">
        <f>IF($T6="","",$W6 &amp; "." &amp; $X6 &amp; "." &amp;$Y6&amp;"."&amp; $Z6+2)</f>
        <v/>
      </c>
      <c r="M6" s="47" t="str">
        <f>IF($T6="","",$AA6 &amp; "." &amp; $AB6 &amp; "." &amp;$AC6&amp;"."&amp;$AD6)</f>
        <v/>
      </c>
      <c r="O6" s="50" t="str">
        <f>IF($T6="","",IF($R6&gt;8,255 &amp; "." &amp; IF($R6&gt;16,255 &amp; "." &amp; IF($R6&gt;24,255 &amp; "." &amp; IF($R6&gt;24,BIN2DEC(REPT(1,$R6-24) &amp; REPT(0,32-$R6)),0),BIN2DEC(REPT(1,$R6-16) &amp; REPT(0,24-$R6)) &amp; ".0"),BIN2DEC(REPT(1,$R6-8) &amp; REPT(0,16-$R6)) &amp; ".0.0"),BIN2DEC(REPT(1,$R6-0) &amp; REPT(0,8-$R6)) &amp; ".0.0.0"))</f>
        <v/>
      </c>
      <c r="Q6" s="26" t="str">
        <f>IF($T6="","",$AA6 &amp; "." &amp; $AB6 &amp; "." &amp;$AC6&amp;"."&amp;$AD6+1)</f>
        <v/>
      </c>
      <c r="R6" s="11" t="str">
        <f t="shared" ref="R6:R69" si="18">IF($T6="","",FLOOR(32-LOG(IF($H$1="yes",MAX($B:$B),$B6)+2,2),1))</f>
        <v/>
      </c>
      <c r="S6" s="11" t="str">
        <f t="shared" si="8"/>
        <v/>
      </c>
      <c r="T6" s="11" t="str">
        <f>IF(OR(OR($T5="",$B6=""),OR(_xlfn.DECIMAL($W5,10)&gt;255,OR(_xlfn.DECIMAL($X5,10)&gt;255,OR(_xlfn.DECIMAL($Y5,10)&gt;255,_xlfn.DECIMAL($Z5,10)&gt;255)))),"",$T5+1)</f>
        <v/>
      </c>
      <c r="W6" s="31" t="str">
        <f>IF($T6="","",MOD($W5+FLOOR(((2^(32-$R5))+((256^2)*$X5))/(256^3),1),256))</f>
        <v/>
      </c>
      <c r="X6" s="15" t="str">
        <f>IF($T6="","",MOD($X5+FLOOR(((2^(32-$R5))+(256*$Y5))/(256^2),1),256))</f>
        <v/>
      </c>
      <c r="Y6" s="15" t="str">
        <f>IF($T6="","",MOD($Y5+FLOOR(((2^(32-$R5))+$Z5)/256,1),256))</f>
        <v/>
      </c>
      <c r="Z6" s="16" t="str">
        <f>IF($T6="","",MOD($Z5+2^(32-$R5),256))</f>
        <v/>
      </c>
      <c r="AA6" s="14" t="str">
        <f>IF($T6="","",MOD($W6+FLOOR(((2^(32-$R6))+((256^2)*$X6)-2)/(256^3),1),256))</f>
        <v/>
      </c>
      <c r="AB6" s="15" t="str">
        <f>IF($T6="","",MOD($X6+FLOOR(((2^(32-$R6))+(256*$Y6)-2)/(256^2),1),256))</f>
        <v/>
      </c>
      <c r="AC6" s="15" t="str">
        <f>IF($T6="","",MOD($Y6+FLOOR(((2^(32-$R6))+$Z6-2)/256,1),256))</f>
        <v/>
      </c>
      <c r="AD6" s="16" t="str">
        <f>IF($T6="","",MOD($Z6+2^(32-$R6)-2,256))</f>
        <v/>
      </c>
      <c r="AE6" s="14" t="str">
        <f t="shared" si="14"/>
        <v/>
      </c>
      <c r="AF6" s="15" t="str">
        <f t="shared" si="15"/>
        <v/>
      </c>
      <c r="AG6" s="15" t="str">
        <f t="shared" si="16"/>
        <v/>
      </c>
      <c r="AH6" s="32" t="str">
        <f t="shared" si="17"/>
        <v/>
      </c>
    </row>
    <row r="7" spans="1:34" x14ac:dyDescent="0.25">
      <c r="A7" s="54"/>
      <c r="B7" s="13"/>
      <c r="C7" s="9"/>
      <c r="D7" s="13"/>
      <c r="E7" s="20" t="str">
        <f t="shared" si="0"/>
        <v/>
      </c>
      <c r="F7" s="3" t="str">
        <f t="shared" si="1"/>
        <v/>
      </c>
      <c r="G7" s="22" t="str">
        <f t="shared" si="2"/>
        <v/>
      </c>
      <c r="I7" s="41" t="str">
        <f t="shared" si="3"/>
        <v/>
      </c>
      <c r="K7" s="45" t="str">
        <f t="shared" si="4"/>
        <v/>
      </c>
      <c r="M7" s="47" t="str">
        <f t="shared" si="5"/>
        <v/>
      </c>
      <c r="O7" s="50" t="str">
        <f t="shared" si="6"/>
        <v/>
      </c>
      <c r="Q7" s="26" t="str">
        <f t="shared" si="7"/>
        <v/>
      </c>
      <c r="R7" s="11" t="str">
        <f t="shared" si="18"/>
        <v/>
      </c>
      <c r="S7" s="11" t="str">
        <f t="shared" si="8"/>
        <v/>
      </c>
      <c r="T7" s="11" t="str">
        <f t="shared" ref="T7:T70" si="19">IF(OR(OR($T6="",$B7=""),OR(_xlfn.DECIMAL($W6,10)&gt;255,OR(_xlfn.DECIMAL($X6,10)&gt;255,OR(_xlfn.DECIMAL($Y6,10)&gt;255,_xlfn.DECIMAL($Z6,10)&gt;255)))),"",$T6+1)</f>
        <v/>
      </c>
      <c r="W7" s="31" t="str">
        <f t="shared" ref="W7:W37" si="20">IF($T7="","",MOD($W6+FLOOR(((2^(32-$R6))+((256^2)*$X6))/(256^3),1),256))</f>
        <v/>
      </c>
      <c r="X7" s="15" t="str">
        <f t="shared" ref="X7:X37" si="21">IF($T7="","",MOD($X6+FLOOR(((2^(32-$R6))+(256*$Y6))/(256^2),1),256))</f>
        <v/>
      </c>
      <c r="Y7" s="15" t="str">
        <f t="shared" ref="Y7:Y37" si="22">IF($T7="","",MOD($Y6+FLOOR(((2^(32-$R6))+$Z6)/256,1),256))</f>
        <v/>
      </c>
      <c r="Z7" s="16" t="str">
        <f t="shared" ref="Z7:Z37" si="23">IF($T7="","",MOD($Z6+2^(32-$R6),256))</f>
        <v/>
      </c>
      <c r="AA7" s="14" t="str">
        <f t="shared" si="10"/>
        <v/>
      </c>
      <c r="AB7" s="15" t="str">
        <f t="shared" si="11"/>
        <v/>
      </c>
      <c r="AC7" s="15" t="str">
        <f t="shared" si="12"/>
        <v/>
      </c>
      <c r="AD7" s="16" t="str">
        <f t="shared" si="13"/>
        <v/>
      </c>
      <c r="AE7" s="14" t="str">
        <f t="shared" si="14"/>
        <v/>
      </c>
      <c r="AF7" s="15" t="str">
        <f t="shared" si="15"/>
        <v/>
      </c>
      <c r="AG7" s="15" t="str">
        <f t="shared" si="16"/>
        <v/>
      </c>
      <c r="AH7" s="32" t="str">
        <f t="shared" si="17"/>
        <v/>
      </c>
    </row>
    <row r="8" spans="1:34" x14ac:dyDescent="0.25">
      <c r="A8" s="54"/>
      <c r="B8" s="13"/>
      <c r="C8" s="9"/>
      <c r="D8" s="13"/>
      <c r="E8" s="20" t="str">
        <f t="shared" si="0"/>
        <v/>
      </c>
      <c r="F8" s="3" t="str">
        <f t="shared" si="1"/>
        <v/>
      </c>
      <c r="G8" s="22" t="str">
        <f t="shared" si="2"/>
        <v/>
      </c>
      <c r="I8" s="41" t="str">
        <f t="shared" si="3"/>
        <v/>
      </c>
      <c r="K8" s="45" t="str">
        <f t="shared" si="4"/>
        <v/>
      </c>
      <c r="M8" s="47" t="str">
        <f t="shared" si="5"/>
        <v/>
      </c>
      <c r="O8" s="50" t="str">
        <f t="shared" si="6"/>
        <v/>
      </c>
      <c r="Q8" s="26" t="str">
        <f t="shared" si="7"/>
        <v/>
      </c>
      <c r="R8" s="11" t="str">
        <f t="shared" si="18"/>
        <v/>
      </c>
      <c r="S8" s="11" t="str">
        <f t="shared" si="8"/>
        <v/>
      </c>
      <c r="T8" s="11" t="str">
        <f t="shared" si="19"/>
        <v/>
      </c>
      <c r="W8" s="31" t="str">
        <f t="shared" si="20"/>
        <v/>
      </c>
      <c r="X8" s="15" t="str">
        <f t="shared" si="21"/>
        <v/>
      </c>
      <c r="Y8" s="15" t="str">
        <f t="shared" si="22"/>
        <v/>
      </c>
      <c r="Z8" s="16" t="str">
        <f t="shared" si="23"/>
        <v/>
      </c>
      <c r="AA8" s="14" t="str">
        <f t="shared" si="10"/>
        <v/>
      </c>
      <c r="AB8" s="15" t="str">
        <f t="shared" si="11"/>
        <v/>
      </c>
      <c r="AC8" s="15" t="str">
        <f t="shared" si="12"/>
        <v/>
      </c>
      <c r="AD8" s="16" t="str">
        <f t="shared" si="13"/>
        <v/>
      </c>
      <c r="AE8" s="14" t="str">
        <f t="shared" si="14"/>
        <v/>
      </c>
      <c r="AF8" s="15" t="str">
        <f t="shared" si="15"/>
        <v/>
      </c>
      <c r="AG8" s="15" t="str">
        <f t="shared" si="16"/>
        <v/>
      </c>
      <c r="AH8" s="32" t="str">
        <f t="shared" si="17"/>
        <v/>
      </c>
    </row>
    <row r="9" spans="1:34" x14ac:dyDescent="0.25">
      <c r="A9" s="54"/>
      <c r="B9" s="13"/>
      <c r="C9" s="9"/>
      <c r="D9" s="13"/>
      <c r="E9" s="20" t="str">
        <f t="shared" si="0"/>
        <v/>
      </c>
      <c r="F9" s="3" t="str">
        <f t="shared" si="1"/>
        <v/>
      </c>
      <c r="G9" s="22" t="str">
        <f t="shared" si="2"/>
        <v/>
      </c>
      <c r="I9" s="41" t="str">
        <f t="shared" si="3"/>
        <v/>
      </c>
      <c r="K9" s="45" t="str">
        <f t="shared" si="4"/>
        <v/>
      </c>
      <c r="M9" s="47" t="str">
        <f t="shared" si="5"/>
        <v/>
      </c>
      <c r="O9" s="50" t="str">
        <f t="shared" si="6"/>
        <v/>
      </c>
      <c r="Q9" s="26" t="str">
        <f t="shared" si="7"/>
        <v/>
      </c>
      <c r="R9" s="11" t="str">
        <f t="shared" si="18"/>
        <v/>
      </c>
      <c r="S9" s="11" t="str">
        <f t="shared" si="8"/>
        <v/>
      </c>
      <c r="T9" s="11" t="str">
        <f t="shared" si="19"/>
        <v/>
      </c>
      <c r="W9" s="31" t="str">
        <f t="shared" si="20"/>
        <v/>
      </c>
      <c r="X9" s="15" t="str">
        <f t="shared" si="21"/>
        <v/>
      </c>
      <c r="Y9" s="15" t="str">
        <f t="shared" si="22"/>
        <v/>
      </c>
      <c r="Z9" s="16" t="str">
        <f t="shared" si="23"/>
        <v/>
      </c>
      <c r="AA9" s="14" t="str">
        <f t="shared" si="10"/>
        <v/>
      </c>
      <c r="AB9" s="15" t="str">
        <f t="shared" si="11"/>
        <v/>
      </c>
      <c r="AC9" s="15" t="str">
        <f t="shared" si="12"/>
        <v/>
      </c>
      <c r="AD9" s="16" t="str">
        <f t="shared" si="13"/>
        <v/>
      </c>
      <c r="AE9" s="14" t="str">
        <f t="shared" si="14"/>
        <v/>
      </c>
      <c r="AF9" s="15" t="str">
        <f t="shared" si="15"/>
        <v/>
      </c>
      <c r="AG9" s="15" t="str">
        <f t="shared" si="16"/>
        <v/>
      </c>
      <c r="AH9" s="32" t="str">
        <f t="shared" si="17"/>
        <v/>
      </c>
    </row>
    <row r="10" spans="1:34" x14ac:dyDescent="0.25">
      <c r="A10" s="54"/>
      <c r="B10" s="13"/>
      <c r="C10" s="9"/>
      <c r="D10" s="13"/>
      <c r="E10" s="20" t="str">
        <f t="shared" si="0"/>
        <v/>
      </c>
      <c r="F10" s="3" t="str">
        <f t="shared" si="1"/>
        <v/>
      </c>
      <c r="G10" s="22" t="str">
        <f t="shared" si="2"/>
        <v/>
      </c>
      <c r="I10" s="41" t="str">
        <f t="shared" si="3"/>
        <v/>
      </c>
      <c r="K10" s="45" t="str">
        <f t="shared" si="4"/>
        <v/>
      </c>
      <c r="M10" s="47" t="str">
        <f t="shared" si="5"/>
        <v/>
      </c>
      <c r="O10" s="50" t="str">
        <f t="shared" si="6"/>
        <v/>
      </c>
      <c r="Q10" s="26" t="str">
        <f t="shared" si="7"/>
        <v/>
      </c>
      <c r="R10" s="11" t="str">
        <f t="shared" si="18"/>
        <v/>
      </c>
      <c r="S10" s="11" t="str">
        <f t="shared" si="8"/>
        <v/>
      </c>
      <c r="T10" s="11" t="str">
        <f t="shared" si="19"/>
        <v/>
      </c>
      <c r="W10" s="31" t="str">
        <f t="shared" si="20"/>
        <v/>
      </c>
      <c r="X10" s="15" t="str">
        <f t="shared" si="21"/>
        <v/>
      </c>
      <c r="Y10" s="15" t="str">
        <f t="shared" si="22"/>
        <v/>
      </c>
      <c r="Z10" s="16" t="str">
        <f t="shared" si="23"/>
        <v/>
      </c>
      <c r="AA10" s="14" t="str">
        <f t="shared" si="10"/>
        <v/>
      </c>
      <c r="AB10" s="15" t="str">
        <f t="shared" si="11"/>
        <v/>
      </c>
      <c r="AC10" s="15" t="str">
        <f t="shared" si="12"/>
        <v/>
      </c>
      <c r="AD10" s="16" t="str">
        <f t="shared" si="13"/>
        <v/>
      </c>
      <c r="AE10" s="14" t="str">
        <f t="shared" si="14"/>
        <v/>
      </c>
      <c r="AF10" s="15" t="str">
        <f t="shared" si="15"/>
        <v/>
      </c>
      <c r="AG10" s="15" t="str">
        <f t="shared" si="16"/>
        <v/>
      </c>
      <c r="AH10" s="32" t="str">
        <f t="shared" si="17"/>
        <v/>
      </c>
    </row>
    <row r="11" spans="1:34" x14ac:dyDescent="0.25">
      <c r="A11" s="54"/>
      <c r="B11" s="13"/>
      <c r="C11" s="9"/>
      <c r="D11" s="13"/>
      <c r="E11" s="20" t="str">
        <f t="shared" si="0"/>
        <v/>
      </c>
      <c r="F11" s="3" t="str">
        <f t="shared" si="1"/>
        <v/>
      </c>
      <c r="G11" s="22" t="str">
        <f t="shared" si="2"/>
        <v/>
      </c>
      <c r="I11" s="41" t="str">
        <f t="shared" si="3"/>
        <v/>
      </c>
      <c r="K11" s="45" t="str">
        <f t="shared" si="4"/>
        <v/>
      </c>
      <c r="M11" s="47" t="str">
        <f t="shared" si="5"/>
        <v/>
      </c>
      <c r="O11" s="50" t="str">
        <f t="shared" si="6"/>
        <v/>
      </c>
      <c r="Q11" s="26" t="str">
        <f t="shared" si="7"/>
        <v/>
      </c>
      <c r="R11" s="11" t="str">
        <f t="shared" si="18"/>
        <v/>
      </c>
      <c r="S11" s="11" t="str">
        <f t="shared" si="8"/>
        <v/>
      </c>
      <c r="T11" s="11" t="str">
        <f t="shared" si="19"/>
        <v/>
      </c>
      <c r="W11" s="31" t="str">
        <f t="shared" si="20"/>
        <v/>
      </c>
      <c r="X11" s="15" t="str">
        <f t="shared" si="21"/>
        <v/>
      </c>
      <c r="Y11" s="15" t="str">
        <f t="shared" si="22"/>
        <v/>
      </c>
      <c r="Z11" s="16" t="str">
        <f t="shared" si="23"/>
        <v/>
      </c>
      <c r="AA11" s="14" t="str">
        <f t="shared" si="10"/>
        <v/>
      </c>
      <c r="AB11" s="15" t="str">
        <f t="shared" si="11"/>
        <v/>
      </c>
      <c r="AC11" s="15" t="str">
        <f t="shared" si="12"/>
        <v/>
      </c>
      <c r="AD11" s="16" t="str">
        <f t="shared" si="13"/>
        <v/>
      </c>
      <c r="AE11" s="14" t="str">
        <f t="shared" si="14"/>
        <v/>
      </c>
      <c r="AF11" s="15" t="str">
        <f t="shared" si="15"/>
        <v/>
      </c>
      <c r="AG11" s="15" t="str">
        <f t="shared" si="16"/>
        <v/>
      </c>
      <c r="AH11" s="32" t="str">
        <f t="shared" si="17"/>
        <v/>
      </c>
    </row>
    <row r="12" spans="1:34" x14ac:dyDescent="0.25">
      <c r="A12" s="54"/>
      <c r="B12" s="13"/>
      <c r="C12" s="9"/>
      <c r="D12" s="13"/>
      <c r="E12" s="20" t="str">
        <f t="shared" si="0"/>
        <v/>
      </c>
      <c r="F12" s="3" t="str">
        <f t="shared" si="1"/>
        <v/>
      </c>
      <c r="G12" s="22" t="str">
        <f t="shared" si="2"/>
        <v/>
      </c>
      <c r="I12" s="41" t="str">
        <f t="shared" si="3"/>
        <v/>
      </c>
      <c r="J12" s="1"/>
      <c r="K12" s="45" t="str">
        <f t="shared" si="4"/>
        <v/>
      </c>
      <c r="L12" s="1"/>
      <c r="M12" s="47" t="str">
        <f t="shared" si="5"/>
        <v/>
      </c>
      <c r="O12" s="50" t="str">
        <f t="shared" si="6"/>
        <v/>
      </c>
      <c r="Q12" s="26" t="str">
        <f t="shared" si="7"/>
        <v/>
      </c>
      <c r="R12" s="11" t="str">
        <f t="shared" si="18"/>
        <v/>
      </c>
      <c r="S12" s="11" t="str">
        <f t="shared" si="8"/>
        <v/>
      </c>
      <c r="T12" s="11" t="str">
        <f t="shared" si="19"/>
        <v/>
      </c>
      <c r="W12" s="31" t="str">
        <f t="shared" si="20"/>
        <v/>
      </c>
      <c r="X12" s="15" t="str">
        <f t="shared" si="21"/>
        <v/>
      </c>
      <c r="Y12" s="15" t="str">
        <f t="shared" si="22"/>
        <v/>
      </c>
      <c r="Z12" s="16" t="str">
        <f t="shared" si="23"/>
        <v/>
      </c>
      <c r="AA12" s="14" t="str">
        <f t="shared" si="10"/>
        <v/>
      </c>
      <c r="AB12" s="15" t="str">
        <f t="shared" si="11"/>
        <v/>
      </c>
      <c r="AC12" s="15" t="str">
        <f t="shared" si="12"/>
        <v/>
      </c>
      <c r="AD12" s="16" t="str">
        <f t="shared" si="13"/>
        <v/>
      </c>
      <c r="AE12" s="14" t="str">
        <f t="shared" si="14"/>
        <v/>
      </c>
      <c r="AF12" s="15" t="str">
        <f t="shared" si="15"/>
        <v/>
      </c>
      <c r="AG12" s="15" t="str">
        <f t="shared" si="16"/>
        <v/>
      </c>
      <c r="AH12" s="32" t="str">
        <f t="shared" si="17"/>
        <v/>
      </c>
    </row>
    <row r="13" spans="1:34" x14ac:dyDescent="0.25">
      <c r="A13" s="54"/>
      <c r="B13" s="13"/>
      <c r="C13" s="9"/>
      <c r="D13" s="13"/>
      <c r="E13" s="20" t="str">
        <f t="shared" si="0"/>
        <v/>
      </c>
      <c r="F13" s="3" t="str">
        <f t="shared" si="1"/>
        <v/>
      </c>
      <c r="G13" s="22" t="str">
        <f t="shared" si="2"/>
        <v/>
      </c>
      <c r="I13" s="41" t="str">
        <f t="shared" si="3"/>
        <v/>
      </c>
      <c r="J13" s="1"/>
      <c r="K13" s="45" t="str">
        <f t="shared" si="4"/>
        <v/>
      </c>
      <c r="L13" s="1"/>
      <c r="M13" s="47" t="str">
        <f t="shared" si="5"/>
        <v/>
      </c>
      <c r="O13" s="50" t="str">
        <f t="shared" si="6"/>
        <v/>
      </c>
      <c r="Q13" s="26" t="str">
        <f t="shared" si="7"/>
        <v/>
      </c>
      <c r="R13" s="11" t="str">
        <f t="shared" si="18"/>
        <v/>
      </c>
      <c r="S13" s="11" t="str">
        <f t="shared" si="8"/>
        <v/>
      </c>
      <c r="T13" s="11" t="str">
        <f t="shared" si="19"/>
        <v/>
      </c>
      <c r="W13" s="31" t="str">
        <f t="shared" si="20"/>
        <v/>
      </c>
      <c r="X13" s="15" t="str">
        <f t="shared" si="21"/>
        <v/>
      </c>
      <c r="Y13" s="15" t="str">
        <f t="shared" si="22"/>
        <v/>
      </c>
      <c r="Z13" s="16" t="str">
        <f t="shared" si="23"/>
        <v/>
      </c>
      <c r="AA13" s="14" t="str">
        <f t="shared" si="10"/>
        <v/>
      </c>
      <c r="AB13" s="15" t="str">
        <f t="shared" si="11"/>
        <v/>
      </c>
      <c r="AC13" s="15" t="str">
        <f t="shared" si="12"/>
        <v/>
      </c>
      <c r="AD13" s="16" t="str">
        <f t="shared" si="13"/>
        <v/>
      </c>
      <c r="AE13" s="14" t="str">
        <f t="shared" si="14"/>
        <v/>
      </c>
      <c r="AF13" s="15" t="str">
        <f t="shared" si="15"/>
        <v/>
      </c>
      <c r="AG13" s="15" t="str">
        <f t="shared" si="16"/>
        <v/>
      </c>
      <c r="AH13" s="32" t="str">
        <f t="shared" si="17"/>
        <v/>
      </c>
    </row>
    <row r="14" spans="1:34" x14ac:dyDescent="0.25">
      <c r="A14" s="54"/>
      <c r="B14" s="13"/>
      <c r="C14" s="9"/>
      <c r="D14" s="13"/>
      <c r="E14" s="20" t="str">
        <f t="shared" si="0"/>
        <v/>
      </c>
      <c r="F14" s="3" t="str">
        <f t="shared" si="1"/>
        <v/>
      </c>
      <c r="G14" s="22" t="str">
        <f t="shared" si="2"/>
        <v/>
      </c>
      <c r="I14" s="41" t="str">
        <f t="shared" si="3"/>
        <v/>
      </c>
      <c r="J14" s="1"/>
      <c r="K14" s="45" t="str">
        <f t="shared" si="4"/>
        <v/>
      </c>
      <c r="L14" s="1"/>
      <c r="M14" s="47" t="str">
        <f t="shared" si="5"/>
        <v/>
      </c>
      <c r="O14" s="50" t="str">
        <f t="shared" si="6"/>
        <v/>
      </c>
      <c r="Q14" s="26" t="str">
        <f t="shared" si="7"/>
        <v/>
      </c>
      <c r="R14" s="11" t="str">
        <f t="shared" si="18"/>
        <v/>
      </c>
      <c r="S14" s="11" t="str">
        <f t="shared" si="8"/>
        <v/>
      </c>
      <c r="T14" s="11" t="str">
        <f t="shared" si="19"/>
        <v/>
      </c>
      <c r="W14" s="31" t="str">
        <f t="shared" si="20"/>
        <v/>
      </c>
      <c r="X14" s="15" t="str">
        <f t="shared" si="21"/>
        <v/>
      </c>
      <c r="Y14" s="15" t="str">
        <f t="shared" si="22"/>
        <v/>
      </c>
      <c r="Z14" s="16" t="str">
        <f t="shared" si="23"/>
        <v/>
      </c>
      <c r="AA14" s="14" t="str">
        <f t="shared" si="10"/>
        <v/>
      </c>
      <c r="AB14" s="15" t="str">
        <f t="shared" si="11"/>
        <v/>
      </c>
      <c r="AC14" s="15" t="str">
        <f t="shared" si="12"/>
        <v/>
      </c>
      <c r="AD14" s="16" t="str">
        <f t="shared" si="13"/>
        <v/>
      </c>
      <c r="AE14" s="14" t="str">
        <f t="shared" si="14"/>
        <v/>
      </c>
      <c r="AF14" s="15" t="str">
        <f t="shared" si="15"/>
        <v/>
      </c>
      <c r="AG14" s="15" t="str">
        <f t="shared" si="16"/>
        <v/>
      </c>
      <c r="AH14" s="32" t="str">
        <f t="shared" si="17"/>
        <v/>
      </c>
    </row>
    <row r="15" spans="1:34" x14ac:dyDescent="0.25">
      <c r="A15" s="54"/>
      <c r="B15" s="13"/>
      <c r="C15" s="9"/>
      <c r="D15" s="13"/>
      <c r="E15" s="20" t="str">
        <f t="shared" si="0"/>
        <v/>
      </c>
      <c r="F15" s="3" t="str">
        <f t="shared" si="1"/>
        <v/>
      </c>
      <c r="G15" s="22" t="str">
        <f t="shared" si="2"/>
        <v/>
      </c>
      <c r="I15" s="41" t="str">
        <f t="shared" si="3"/>
        <v/>
      </c>
      <c r="J15" s="1"/>
      <c r="K15" s="45" t="str">
        <f t="shared" si="4"/>
        <v/>
      </c>
      <c r="L15" s="1"/>
      <c r="M15" s="47" t="str">
        <f t="shared" si="5"/>
        <v/>
      </c>
      <c r="O15" s="50" t="str">
        <f t="shared" si="6"/>
        <v/>
      </c>
      <c r="Q15" s="26" t="str">
        <f t="shared" si="7"/>
        <v/>
      </c>
      <c r="R15" s="11" t="str">
        <f t="shared" si="18"/>
        <v/>
      </c>
      <c r="S15" s="11" t="str">
        <f t="shared" si="8"/>
        <v/>
      </c>
      <c r="T15" s="11" t="str">
        <f t="shared" si="19"/>
        <v/>
      </c>
      <c r="W15" s="31" t="str">
        <f t="shared" si="20"/>
        <v/>
      </c>
      <c r="X15" s="15" t="str">
        <f t="shared" si="21"/>
        <v/>
      </c>
      <c r="Y15" s="15" t="str">
        <f t="shared" si="22"/>
        <v/>
      </c>
      <c r="Z15" s="16" t="str">
        <f t="shared" si="23"/>
        <v/>
      </c>
      <c r="AA15" s="14" t="str">
        <f t="shared" si="10"/>
        <v/>
      </c>
      <c r="AB15" s="15" t="str">
        <f t="shared" si="11"/>
        <v/>
      </c>
      <c r="AC15" s="15" t="str">
        <f t="shared" si="12"/>
        <v/>
      </c>
      <c r="AD15" s="16" t="str">
        <f t="shared" si="13"/>
        <v/>
      </c>
      <c r="AE15" s="14" t="str">
        <f t="shared" si="14"/>
        <v/>
      </c>
      <c r="AF15" s="15" t="str">
        <f t="shared" si="15"/>
        <v/>
      </c>
      <c r="AG15" s="15" t="str">
        <f t="shared" si="16"/>
        <v/>
      </c>
      <c r="AH15" s="32" t="str">
        <f t="shared" si="17"/>
        <v/>
      </c>
    </row>
    <row r="16" spans="1:34" x14ac:dyDescent="0.25">
      <c r="A16" s="54"/>
      <c r="B16" s="13"/>
      <c r="C16" s="9"/>
      <c r="D16" s="13"/>
      <c r="E16" s="20" t="str">
        <f t="shared" si="0"/>
        <v/>
      </c>
      <c r="F16" s="3" t="str">
        <f t="shared" si="1"/>
        <v/>
      </c>
      <c r="G16" s="22" t="str">
        <f t="shared" si="2"/>
        <v/>
      </c>
      <c r="I16" s="41" t="str">
        <f t="shared" si="3"/>
        <v/>
      </c>
      <c r="J16" s="1"/>
      <c r="K16" s="45" t="str">
        <f t="shared" si="4"/>
        <v/>
      </c>
      <c r="L16" s="1"/>
      <c r="M16" s="47" t="str">
        <f t="shared" si="5"/>
        <v/>
      </c>
      <c r="O16" s="50" t="str">
        <f t="shared" si="6"/>
        <v/>
      </c>
      <c r="Q16" s="26" t="str">
        <f t="shared" si="7"/>
        <v/>
      </c>
      <c r="R16" s="11" t="str">
        <f t="shared" si="18"/>
        <v/>
      </c>
      <c r="S16" s="11" t="str">
        <f t="shared" si="8"/>
        <v/>
      </c>
      <c r="T16" s="11" t="str">
        <f t="shared" si="19"/>
        <v/>
      </c>
      <c r="W16" s="31" t="str">
        <f t="shared" si="20"/>
        <v/>
      </c>
      <c r="X16" s="15" t="str">
        <f t="shared" si="21"/>
        <v/>
      </c>
      <c r="Y16" s="15" t="str">
        <f t="shared" si="22"/>
        <v/>
      </c>
      <c r="Z16" s="16" t="str">
        <f t="shared" si="23"/>
        <v/>
      </c>
      <c r="AA16" s="14" t="str">
        <f t="shared" si="10"/>
        <v/>
      </c>
      <c r="AB16" s="15" t="str">
        <f t="shared" si="11"/>
        <v/>
      </c>
      <c r="AC16" s="15" t="str">
        <f t="shared" si="12"/>
        <v/>
      </c>
      <c r="AD16" s="16" t="str">
        <f t="shared" si="13"/>
        <v/>
      </c>
      <c r="AE16" s="14" t="str">
        <f t="shared" si="14"/>
        <v/>
      </c>
      <c r="AF16" s="15" t="str">
        <f t="shared" si="15"/>
        <v/>
      </c>
      <c r="AG16" s="15" t="str">
        <f t="shared" si="16"/>
        <v/>
      </c>
      <c r="AH16" s="32" t="str">
        <f t="shared" si="17"/>
        <v/>
      </c>
    </row>
    <row r="17" spans="1:34" x14ac:dyDescent="0.25">
      <c r="A17" s="54"/>
      <c r="B17" s="13"/>
      <c r="C17" s="9"/>
      <c r="D17" s="13"/>
      <c r="E17" s="20" t="str">
        <f t="shared" si="0"/>
        <v/>
      </c>
      <c r="F17" s="3" t="str">
        <f t="shared" si="1"/>
        <v/>
      </c>
      <c r="G17" s="22" t="str">
        <f t="shared" si="2"/>
        <v/>
      </c>
      <c r="I17" s="41" t="str">
        <f t="shared" si="3"/>
        <v/>
      </c>
      <c r="J17" s="1"/>
      <c r="K17" s="45" t="str">
        <f t="shared" si="4"/>
        <v/>
      </c>
      <c r="L17" s="1"/>
      <c r="M17" s="47" t="str">
        <f t="shared" si="5"/>
        <v/>
      </c>
      <c r="O17" s="50" t="str">
        <f t="shared" si="6"/>
        <v/>
      </c>
      <c r="Q17" s="26" t="str">
        <f t="shared" si="7"/>
        <v/>
      </c>
      <c r="R17" s="11" t="str">
        <f t="shared" si="18"/>
        <v/>
      </c>
      <c r="S17" s="11" t="str">
        <f t="shared" si="8"/>
        <v/>
      </c>
      <c r="T17" s="11" t="str">
        <f t="shared" si="19"/>
        <v/>
      </c>
      <c r="W17" s="31" t="str">
        <f t="shared" si="20"/>
        <v/>
      </c>
      <c r="X17" s="15" t="str">
        <f t="shared" si="21"/>
        <v/>
      </c>
      <c r="Y17" s="15" t="str">
        <f t="shared" si="22"/>
        <v/>
      </c>
      <c r="Z17" s="16" t="str">
        <f t="shared" si="23"/>
        <v/>
      </c>
      <c r="AA17" s="14" t="str">
        <f t="shared" si="10"/>
        <v/>
      </c>
      <c r="AB17" s="15" t="str">
        <f t="shared" si="11"/>
        <v/>
      </c>
      <c r="AC17" s="15" t="str">
        <f t="shared" si="12"/>
        <v/>
      </c>
      <c r="AD17" s="16" t="str">
        <f t="shared" si="13"/>
        <v/>
      </c>
      <c r="AE17" s="14" t="str">
        <f t="shared" si="14"/>
        <v/>
      </c>
      <c r="AF17" s="15" t="str">
        <f t="shared" si="15"/>
        <v/>
      </c>
      <c r="AG17" s="15" t="str">
        <f t="shared" si="16"/>
        <v/>
      </c>
      <c r="AH17" s="32" t="str">
        <f t="shared" si="17"/>
        <v/>
      </c>
    </row>
    <row r="18" spans="1:34" x14ac:dyDescent="0.25">
      <c r="A18" s="54"/>
      <c r="B18" s="13"/>
      <c r="C18" s="9"/>
      <c r="D18" s="13"/>
      <c r="E18" s="20" t="str">
        <f t="shared" si="0"/>
        <v/>
      </c>
      <c r="F18" s="3" t="str">
        <f t="shared" si="1"/>
        <v/>
      </c>
      <c r="G18" s="22" t="str">
        <f t="shared" si="2"/>
        <v/>
      </c>
      <c r="I18" s="41" t="str">
        <f t="shared" si="3"/>
        <v/>
      </c>
      <c r="K18" s="45" t="str">
        <f t="shared" si="4"/>
        <v/>
      </c>
      <c r="M18" s="47" t="str">
        <f t="shared" si="5"/>
        <v/>
      </c>
      <c r="O18" s="50" t="str">
        <f t="shared" si="6"/>
        <v/>
      </c>
      <c r="Q18" s="26" t="str">
        <f t="shared" si="7"/>
        <v/>
      </c>
      <c r="R18" s="11" t="str">
        <f t="shared" si="18"/>
        <v/>
      </c>
      <c r="S18" s="11" t="str">
        <f t="shared" si="8"/>
        <v/>
      </c>
      <c r="T18" s="11" t="str">
        <f t="shared" si="19"/>
        <v/>
      </c>
      <c r="W18" s="31" t="str">
        <f t="shared" si="20"/>
        <v/>
      </c>
      <c r="X18" s="15" t="str">
        <f t="shared" si="21"/>
        <v/>
      </c>
      <c r="Y18" s="15" t="str">
        <f t="shared" si="22"/>
        <v/>
      </c>
      <c r="Z18" s="16" t="str">
        <f t="shared" si="23"/>
        <v/>
      </c>
      <c r="AA18" s="14" t="str">
        <f t="shared" si="10"/>
        <v/>
      </c>
      <c r="AB18" s="15" t="str">
        <f t="shared" si="11"/>
        <v/>
      </c>
      <c r="AC18" s="15" t="str">
        <f t="shared" si="12"/>
        <v/>
      </c>
      <c r="AD18" s="16" t="str">
        <f t="shared" si="13"/>
        <v/>
      </c>
      <c r="AE18" s="14" t="str">
        <f t="shared" si="14"/>
        <v/>
      </c>
      <c r="AF18" s="15" t="str">
        <f t="shared" si="15"/>
        <v/>
      </c>
      <c r="AG18" s="15" t="str">
        <f t="shared" si="16"/>
        <v/>
      </c>
      <c r="AH18" s="32" t="str">
        <f t="shared" si="17"/>
        <v/>
      </c>
    </row>
    <row r="19" spans="1:34" x14ac:dyDescent="0.25">
      <c r="A19" s="54"/>
      <c r="B19" s="13"/>
      <c r="C19" s="9"/>
      <c r="D19" s="13"/>
      <c r="E19" s="20" t="str">
        <f t="shared" si="0"/>
        <v/>
      </c>
      <c r="F19" s="3" t="str">
        <f t="shared" si="1"/>
        <v/>
      </c>
      <c r="G19" s="22" t="str">
        <f t="shared" si="2"/>
        <v/>
      </c>
      <c r="I19" s="41" t="str">
        <f t="shared" si="3"/>
        <v/>
      </c>
      <c r="K19" s="45" t="str">
        <f t="shared" si="4"/>
        <v/>
      </c>
      <c r="M19" s="47" t="str">
        <f t="shared" si="5"/>
        <v/>
      </c>
      <c r="O19" s="50" t="str">
        <f t="shared" si="6"/>
        <v/>
      </c>
      <c r="Q19" s="26" t="str">
        <f t="shared" si="7"/>
        <v/>
      </c>
      <c r="R19" s="11" t="str">
        <f t="shared" si="18"/>
        <v/>
      </c>
      <c r="S19" s="11" t="str">
        <f t="shared" si="8"/>
        <v/>
      </c>
      <c r="T19" s="11" t="str">
        <f t="shared" si="19"/>
        <v/>
      </c>
      <c r="W19" s="31" t="str">
        <f t="shared" si="20"/>
        <v/>
      </c>
      <c r="X19" s="15" t="str">
        <f t="shared" si="21"/>
        <v/>
      </c>
      <c r="Y19" s="15" t="str">
        <f t="shared" si="22"/>
        <v/>
      </c>
      <c r="Z19" s="16" t="str">
        <f t="shared" si="23"/>
        <v/>
      </c>
      <c r="AA19" s="14" t="str">
        <f t="shared" si="10"/>
        <v/>
      </c>
      <c r="AB19" s="15" t="str">
        <f t="shared" si="11"/>
        <v/>
      </c>
      <c r="AC19" s="15" t="str">
        <f t="shared" si="12"/>
        <v/>
      </c>
      <c r="AD19" s="16" t="str">
        <f t="shared" si="13"/>
        <v/>
      </c>
      <c r="AE19" s="14" t="str">
        <f t="shared" si="14"/>
        <v/>
      </c>
      <c r="AF19" s="15" t="str">
        <f t="shared" si="15"/>
        <v/>
      </c>
      <c r="AG19" s="15" t="str">
        <f t="shared" si="16"/>
        <v/>
      </c>
      <c r="AH19" s="32" t="str">
        <f t="shared" si="17"/>
        <v/>
      </c>
    </row>
    <row r="20" spans="1:34" x14ac:dyDescent="0.25">
      <c r="A20" s="54"/>
      <c r="B20" s="39"/>
      <c r="C20" s="9"/>
      <c r="D20" s="13"/>
      <c r="E20" s="20" t="str">
        <f t="shared" si="0"/>
        <v/>
      </c>
      <c r="F20" s="3" t="str">
        <f t="shared" si="1"/>
        <v/>
      </c>
      <c r="G20" s="22" t="str">
        <f t="shared" si="2"/>
        <v/>
      </c>
      <c r="I20" s="41" t="str">
        <f t="shared" si="3"/>
        <v/>
      </c>
      <c r="K20" s="45" t="str">
        <f t="shared" si="4"/>
        <v/>
      </c>
      <c r="M20" s="47" t="str">
        <f t="shared" si="5"/>
        <v/>
      </c>
      <c r="O20" s="50" t="str">
        <f t="shared" si="6"/>
        <v/>
      </c>
      <c r="Q20" s="26" t="str">
        <f t="shared" si="7"/>
        <v/>
      </c>
      <c r="R20" s="11" t="str">
        <f t="shared" si="18"/>
        <v/>
      </c>
      <c r="S20" s="11" t="str">
        <f t="shared" si="8"/>
        <v/>
      </c>
      <c r="T20" s="11" t="str">
        <f t="shared" si="19"/>
        <v/>
      </c>
      <c r="W20" s="31" t="str">
        <f t="shared" si="20"/>
        <v/>
      </c>
      <c r="X20" s="15" t="str">
        <f t="shared" si="21"/>
        <v/>
      </c>
      <c r="Y20" s="15" t="str">
        <f t="shared" si="22"/>
        <v/>
      </c>
      <c r="Z20" s="16" t="str">
        <f t="shared" si="23"/>
        <v/>
      </c>
      <c r="AA20" s="14" t="str">
        <f t="shared" si="10"/>
        <v/>
      </c>
      <c r="AB20" s="15" t="str">
        <f t="shared" si="11"/>
        <v/>
      </c>
      <c r="AC20" s="15" t="str">
        <f t="shared" si="12"/>
        <v/>
      </c>
      <c r="AD20" s="16" t="str">
        <f t="shared" si="13"/>
        <v/>
      </c>
      <c r="AE20" s="14" t="str">
        <f t="shared" si="14"/>
        <v/>
      </c>
      <c r="AF20" s="15" t="str">
        <f t="shared" si="15"/>
        <v/>
      </c>
      <c r="AG20" s="15" t="str">
        <f t="shared" si="16"/>
        <v/>
      </c>
      <c r="AH20" s="32" t="str">
        <f t="shared" si="17"/>
        <v/>
      </c>
    </row>
    <row r="21" spans="1:34" x14ac:dyDescent="0.25">
      <c r="A21" s="54"/>
      <c r="B21" s="39"/>
      <c r="C21" s="9"/>
      <c r="D21" s="13"/>
      <c r="E21" s="20" t="str">
        <f t="shared" si="0"/>
        <v/>
      </c>
      <c r="F21" s="3" t="str">
        <f t="shared" si="1"/>
        <v/>
      </c>
      <c r="G21" s="22" t="str">
        <f t="shared" si="2"/>
        <v/>
      </c>
      <c r="I21" s="41" t="str">
        <f t="shared" si="3"/>
        <v/>
      </c>
      <c r="K21" s="45" t="str">
        <f t="shared" si="4"/>
        <v/>
      </c>
      <c r="M21" s="47" t="str">
        <f t="shared" si="5"/>
        <v/>
      </c>
      <c r="O21" s="50" t="str">
        <f t="shared" si="6"/>
        <v/>
      </c>
      <c r="Q21" s="26" t="str">
        <f t="shared" si="7"/>
        <v/>
      </c>
      <c r="R21" s="11" t="str">
        <f t="shared" si="18"/>
        <v/>
      </c>
      <c r="S21" s="11" t="str">
        <f t="shared" si="8"/>
        <v/>
      </c>
      <c r="T21" s="11" t="str">
        <f t="shared" si="19"/>
        <v/>
      </c>
      <c r="W21" s="31" t="str">
        <f t="shared" si="20"/>
        <v/>
      </c>
      <c r="X21" s="15" t="str">
        <f t="shared" si="21"/>
        <v/>
      </c>
      <c r="Y21" s="15" t="str">
        <f t="shared" si="22"/>
        <v/>
      </c>
      <c r="Z21" s="16" t="str">
        <f t="shared" si="23"/>
        <v/>
      </c>
      <c r="AA21" s="14" t="str">
        <f t="shared" si="10"/>
        <v/>
      </c>
      <c r="AB21" s="15" t="str">
        <f t="shared" si="11"/>
        <v/>
      </c>
      <c r="AC21" s="15" t="str">
        <f t="shared" si="12"/>
        <v/>
      </c>
      <c r="AD21" s="16" t="str">
        <f t="shared" si="13"/>
        <v/>
      </c>
      <c r="AE21" s="14" t="str">
        <f t="shared" si="14"/>
        <v/>
      </c>
      <c r="AF21" s="15" t="str">
        <f t="shared" si="15"/>
        <v/>
      </c>
      <c r="AG21" s="15" t="str">
        <f t="shared" si="16"/>
        <v/>
      </c>
      <c r="AH21" s="32" t="str">
        <f t="shared" si="17"/>
        <v/>
      </c>
    </row>
    <row r="22" spans="1:34" x14ac:dyDescent="0.25">
      <c r="A22" s="54"/>
      <c r="B22" s="39"/>
      <c r="C22" s="9"/>
      <c r="D22" s="13"/>
      <c r="E22" s="20" t="str">
        <f t="shared" si="0"/>
        <v/>
      </c>
      <c r="F22" s="3" t="str">
        <f t="shared" si="1"/>
        <v/>
      </c>
      <c r="G22" s="22" t="str">
        <f t="shared" si="2"/>
        <v/>
      </c>
      <c r="I22" s="41" t="str">
        <f t="shared" si="3"/>
        <v/>
      </c>
      <c r="K22" s="45" t="str">
        <f t="shared" si="4"/>
        <v/>
      </c>
      <c r="M22" s="47" t="str">
        <f t="shared" si="5"/>
        <v/>
      </c>
      <c r="O22" s="50" t="str">
        <f t="shared" si="6"/>
        <v/>
      </c>
      <c r="Q22" s="26" t="str">
        <f t="shared" si="7"/>
        <v/>
      </c>
      <c r="R22" s="11" t="str">
        <f t="shared" si="18"/>
        <v/>
      </c>
      <c r="S22" s="11" t="str">
        <f t="shared" si="8"/>
        <v/>
      </c>
      <c r="T22" s="11" t="str">
        <f t="shared" si="19"/>
        <v/>
      </c>
      <c r="W22" s="31" t="str">
        <f t="shared" si="20"/>
        <v/>
      </c>
      <c r="X22" s="15" t="str">
        <f t="shared" si="21"/>
        <v/>
      </c>
      <c r="Y22" s="15" t="str">
        <f t="shared" si="22"/>
        <v/>
      </c>
      <c r="Z22" s="16" t="str">
        <f t="shared" si="23"/>
        <v/>
      </c>
      <c r="AA22" s="14" t="str">
        <f t="shared" si="10"/>
        <v/>
      </c>
      <c r="AB22" s="15" t="str">
        <f t="shared" si="11"/>
        <v/>
      </c>
      <c r="AC22" s="15" t="str">
        <f t="shared" si="12"/>
        <v/>
      </c>
      <c r="AD22" s="16" t="str">
        <f t="shared" si="13"/>
        <v/>
      </c>
      <c r="AE22" s="14" t="str">
        <f t="shared" si="14"/>
        <v/>
      </c>
      <c r="AF22" s="15" t="str">
        <f t="shared" si="15"/>
        <v/>
      </c>
      <c r="AG22" s="15" t="str">
        <f t="shared" si="16"/>
        <v/>
      </c>
      <c r="AH22" s="32" t="str">
        <f t="shared" si="17"/>
        <v/>
      </c>
    </row>
    <row r="23" spans="1:34" x14ac:dyDescent="0.25">
      <c r="A23" s="54"/>
      <c r="B23" s="39"/>
      <c r="C23" s="9"/>
      <c r="D23" s="13"/>
      <c r="E23" s="20" t="str">
        <f t="shared" si="0"/>
        <v/>
      </c>
      <c r="F23" s="3" t="str">
        <f t="shared" si="1"/>
        <v/>
      </c>
      <c r="G23" s="22" t="str">
        <f t="shared" si="2"/>
        <v/>
      </c>
      <c r="I23" s="41" t="str">
        <f t="shared" si="3"/>
        <v/>
      </c>
      <c r="K23" s="45" t="str">
        <f t="shared" si="4"/>
        <v/>
      </c>
      <c r="M23" s="47" t="str">
        <f t="shared" si="5"/>
        <v/>
      </c>
      <c r="O23" s="50" t="str">
        <f t="shared" si="6"/>
        <v/>
      </c>
      <c r="Q23" s="26" t="str">
        <f t="shared" si="7"/>
        <v/>
      </c>
      <c r="R23" s="11" t="str">
        <f t="shared" si="18"/>
        <v/>
      </c>
      <c r="S23" s="11" t="str">
        <f t="shared" si="8"/>
        <v/>
      </c>
      <c r="T23" s="11" t="str">
        <f t="shared" si="19"/>
        <v/>
      </c>
      <c r="W23" s="31" t="str">
        <f t="shared" si="20"/>
        <v/>
      </c>
      <c r="X23" s="15" t="str">
        <f t="shared" si="21"/>
        <v/>
      </c>
      <c r="Y23" s="15" t="str">
        <f t="shared" si="22"/>
        <v/>
      </c>
      <c r="Z23" s="16" t="str">
        <f t="shared" si="23"/>
        <v/>
      </c>
      <c r="AA23" s="14" t="str">
        <f t="shared" si="10"/>
        <v/>
      </c>
      <c r="AB23" s="15" t="str">
        <f t="shared" si="11"/>
        <v/>
      </c>
      <c r="AC23" s="15" t="str">
        <f t="shared" si="12"/>
        <v/>
      </c>
      <c r="AD23" s="16" t="str">
        <f t="shared" si="13"/>
        <v/>
      </c>
      <c r="AE23" s="14" t="str">
        <f t="shared" si="14"/>
        <v/>
      </c>
      <c r="AF23" s="15" t="str">
        <f t="shared" si="15"/>
        <v/>
      </c>
      <c r="AG23" s="15" t="str">
        <f t="shared" si="16"/>
        <v/>
      </c>
      <c r="AH23" s="32" t="str">
        <f t="shared" si="17"/>
        <v/>
      </c>
    </row>
    <row r="24" spans="1:34" x14ac:dyDescent="0.25">
      <c r="A24" s="54"/>
      <c r="B24" s="39"/>
      <c r="C24" s="9"/>
      <c r="D24" s="13"/>
      <c r="E24" s="20" t="str">
        <f t="shared" si="0"/>
        <v/>
      </c>
      <c r="F24" s="3" t="str">
        <f t="shared" si="1"/>
        <v/>
      </c>
      <c r="G24" s="22" t="str">
        <f t="shared" si="2"/>
        <v/>
      </c>
      <c r="I24" s="41" t="str">
        <f t="shared" si="3"/>
        <v/>
      </c>
      <c r="K24" s="45" t="str">
        <f t="shared" si="4"/>
        <v/>
      </c>
      <c r="M24" s="47" t="str">
        <f t="shared" si="5"/>
        <v/>
      </c>
      <c r="O24" s="50" t="str">
        <f t="shared" si="6"/>
        <v/>
      </c>
      <c r="Q24" s="26" t="str">
        <f t="shared" si="7"/>
        <v/>
      </c>
      <c r="R24" s="11" t="str">
        <f t="shared" si="18"/>
        <v/>
      </c>
      <c r="S24" s="11" t="str">
        <f t="shared" si="8"/>
        <v/>
      </c>
      <c r="T24" s="11" t="str">
        <f t="shared" si="19"/>
        <v/>
      </c>
      <c r="W24" s="31" t="str">
        <f t="shared" si="20"/>
        <v/>
      </c>
      <c r="X24" s="15" t="str">
        <f t="shared" si="21"/>
        <v/>
      </c>
      <c r="Y24" s="15" t="str">
        <f t="shared" si="22"/>
        <v/>
      </c>
      <c r="Z24" s="16" t="str">
        <f t="shared" si="23"/>
        <v/>
      </c>
      <c r="AA24" s="14" t="str">
        <f t="shared" si="10"/>
        <v/>
      </c>
      <c r="AB24" s="15" t="str">
        <f t="shared" si="11"/>
        <v/>
      </c>
      <c r="AC24" s="15" t="str">
        <f t="shared" si="12"/>
        <v/>
      </c>
      <c r="AD24" s="16" t="str">
        <f t="shared" si="13"/>
        <v/>
      </c>
      <c r="AE24" s="14" t="str">
        <f t="shared" si="14"/>
        <v/>
      </c>
      <c r="AF24" s="15" t="str">
        <f t="shared" si="15"/>
        <v/>
      </c>
      <c r="AG24" s="15" t="str">
        <f t="shared" si="16"/>
        <v/>
      </c>
      <c r="AH24" s="32" t="str">
        <f t="shared" si="17"/>
        <v/>
      </c>
    </row>
    <row r="25" spans="1:34" x14ac:dyDescent="0.25">
      <c r="A25" s="54"/>
      <c r="B25" s="39"/>
      <c r="C25" s="9"/>
      <c r="D25" s="13"/>
      <c r="E25" s="20" t="str">
        <f t="shared" si="0"/>
        <v/>
      </c>
      <c r="F25" s="3" t="str">
        <f t="shared" si="1"/>
        <v/>
      </c>
      <c r="G25" s="22" t="str">
        <f t="shared" si="2"/>
        <v/>
      </c>
      <c r="I25" s="41" t="str">
        <f t="shared" si="3"/>
        <v/>
      </c>
      <c r="K25" s="45" t="str">
        <f t="shared" si="4"/>
        <v/>
      </c>
      <c r="M25" s="47" t="str">
        <f t="shared" si="5"/>
        <v/>
      </c>
      <c r="O25" s="50" t="str">
        <f t="shared" si="6"/>
        <v/>
      </c>
      <c r="Q25" s="26" t="str">
        <f t="shared" si="7"/>
        <v/>
      </c>
      <c r="R25" s="11" t="str">
        <f t="shared" si="18"/>
        <v/>
      </c>
      <c r="S25" s="11" t="str">
        <f t="shared" si="8"/>
        <v/>
      </c>
      <c r="T25" s="11" t="str">
        <f t="shared" si="19"/>
        <v/>
      </c>
      <c r="W25" s="31" t="str">
        <f t="shared" si="20"/>
        <v/>
      </c>
      <c r="X25" s="15" t="str">
        <f t="shared" si="21"/>
        <v/>
      </c>
      <c r="Y25" s="15" t="str">
        <f t="shared" si="22"/>
        <v/>
      </c>
      <c r="Z25" s="16" t="str">
        <f t="shared" si="23"/>
        <v/>
      </c>
      <c r="AA25" s="14" t="str">
        <f t="shared" si="10"/>
        <v/>
      </c>
      <c r="AB25" s="15" t="str">
        <f t="shared" si="11"/>
        <v/>
      </c>
      <c r="AC25" s="15" t="str">
        <f t="shared" si="12"/>
        <v/>
      </c>
      <c r="AD25" s="16" t="str">
        <f t="shared" si="13"/>
        <v/>
      </c>
      <c r="AE25" s="14" t="str">
        <f t="shared" si="14"/>
        <v/>
      </c>
      <c r="AF25" s="15" t="str">
        <f t="shared" si="15"/>
        <v/>
      </c>
      <c r="AG25" s="15" t="str">
        <f t="shared" si="16"/>
        <v/>
      </c>
      <c r="AH25" s="32" t="str">
        <f t="shared" si="17"/>
        <v/>
      </c>
    </row>
    <row r="26" spans="1:34" x14ac:dyDescent="0.25">
      <c r="A26" s="54"/>
      <c r="B26" s="39"/>
      <c r="C26" s="9"/>
      <c r="D26" s="13"/>
      <c r="E26" s="20" t="str">
        <f t="shared" si="0"/>
        <v/>
      </c>
      <c r="F26" s="3" t="str">
        <f t="shared" si="1"/>
        <v/>
      </c>
      <c r="G26" s="22" t="str">
        <f t="shared" si="2"/>
        <v/>
      </c>
      <c r="I26" s="41" t="str">
        <f t="shared" si="3"/>
        <v/>
      </c>
      <c r="K26" s="45" t="str">
        <f t="shared" si="4"/>
        <v/>
      </c>
      <c r="M26" s="47" t="str">
        <f t="shared" si="5"/>
        <v/>
      </c>
      <c r="O26" s="50" t="str">
        <f t="shared" si="6"/>
        <v/>
      </c>
      <c r="Q26" s="26" t="str">
        <f t="shared" si="7"/>
        <v/>
      </c>
      <c r="R26" s="11" t="str">
        <f t="shared" si="18"/>
        <v/>
      </c>
      <c r="S26" s="11" t="str">
        <f t="shared" si="8"/>
        <v/>
      </c>
      <c r="T26" s="11" t="str">
        <f t="shared" si="19"/>
        <v/>
      </c>
      <c r="W26" s="31" t="str">
        <f t="shared" si="20"/>
        <v/>
      </c>
      <c r="X26" s="15" t="str">
        <f t="shared" si="21"/>
        <v/>
      </c>
      <c r="Y26" s="15" t="str">
        <f t="shared" si="22"/>
        <v/>
      </c>
      <c r="Z26" s="16" t="str">
        <f t="shared" si="23"/>
        <v/>
      </c>
      <c r="AA26" s="14" t="str">
        <f t="shared" si="10"/>
        <v/>
      </c>
      <c r="AB26" s="15" t="str">
        <f t="shared" si="11"/>
        <v/>
      </c>
      <c r="AC26" s="15" t="str">
        <f t="shared" si="12"/>
        <v/>
      </c>
      <c r="AD26" s="16" t="str">
        <f t="shared" si="13"/>
        <v/>
      </c>
      <c r="AE26" s="14" t="str">
        <f t="shared" si="14"/>
        <v/>
      </c>
      <c r="AF26" s="15" t="str">
        <f t="shared" si="15"/>
        <v/>
      </c>
      <c r="AG26" s="15" t="str">
        <f t="shared" si="16"/>
        <v/>
      </c>
      <c r="AH26" s="32" t="str">
        <f t="shared" si="17"/>
        <v/>
      </c>
    </row>
    <row r="27" spans="1:34" x14ac:dyDescent="0.25">
      <c r="A27" s="54"/>
      <c r="B27" s="13"/>
      <c r="C27" s="9"/>
      <c r="D27" s="13"/>
      <c r="E27" s="20" t="str">
        <f t="shared" si="0"/>
        <v/>
      </c>
      <c r="F27" s="3" t="str">
        <f t="shared" si="1"/>
        <v/>
      </c>
      <c r="G27" s="22" t="str">
        <f t="shared" si="2"/>
        <v/>
      </c>
      <c r="I27" s="41" t="str">
        <f t="shared" si="3"/>
        <v/>
      </c>
      <c r="K27" s="45" t="str">
        <f t="shared" si="4"/>
        <v/>
      </c>
      <c r="M27" s="47" t="str">
        <f t="shared" si="5"/>
        <v/>
      </c>
      <c r="O27" s="50" t="str">
        <f t="shared" si="6"/>
        <v/>
      </c>
      <c r="Q27" s="26" t="str">
        <f t="shared" si="7"/>
        <v/>
      </c>
      <c r="R27" s="11" t="str">
        <f t="shared" si="18"/>
        <v/>
      </c>
      <c r="S27" s="11" t="str">
        <f t="shared" si="8"/>
        <v/>
      </c>
      <c r="T27" s="11" t="str">
        <f t="shared" si="19"/>
        <v/>
      </c>
      <c r="W27" s="31" t="str">
        <f t="shared" si="20"/>
        <v/>
      </c>
      <c r="X27" s="15" t="str">
        <f t="shared" si="21"/>
        <v/>
      </c>
      <c r="Y27" s="15" t="str">
        <f t="shared" si="22"/>
        <v/>
      </c>
      <c r="Z27" s="16" t="str">
        <f t="shared" si="23"/>
        <v/>
      </c>
      <c r="AA27" s="14" t="str">
        <f t="shared" si="10"/>
        <v/>
      </c>
      <c r="AB27" s="15" t="str">
        <f t="shared" si="11"/>
        <v/>
      </c>
      <c r="AC27" s="15" t="str">
        <f t="shared" si="12"/>
        <v/>
      </c>
      <c r="AD27" s="16" t="str">
        <f t="shared" si="13"/>
        <v/>
      </c>
      <c r="AE27" s="14" t="str">
        <f t="shared" si="14"/>
        <v/>
      </c>
      <c r="AF27" s="15" t="str">
        <f t="shared" si="15"/>
        <v/>
      </c>
      <c r="AG27" s="15" t="str">
        <f t="shared" si="16"/>
        <v/>
      </c>
      <c r="AH27" s="32" t="str">
        <f t="shared" si="17"/>
        <v/>
      </c>
    </row>
    <row r="28" spans="1:34" x14ac:dyDescent="0.25">
      <c r="A28" s="54"/>
      <c r="B28" s="13"/>
      <c r="C28" s="9"/>
      <c r="D28" s="13"/>
      <c r="E28" s="20" t="str">
        <f t="shared" si="0"/>
        <v/>
      </c>
      <c r="F28" s="3" t="str">
        <f t="shared" si="1"/>
        <v/>
      </c>
      <c r="G28" s="22" t="str">
        <f t="shared" si="2"/>
        <v/>
      </c>
      <c r="I28" s="41" t="str">
        <f t="shared" si="3"/>
        <v/>
      </c>
      <c r="K28" s="45" t="str">
        <f t="shared" si="4"/>
        <v/>
      </c>
      <c r="M28" s="47" t="str">
        <f t="shared" si="5"/>
        <v/>
      </c>
      <c r="O28" s="50" t="str">
        <f t="shared" si="6"/>
        <v/>
      </c>
      <c r="Q28" s="26" t="str">
        <f t="shared" si="7"/>
        <v/>
      </c>
      <c r="R28" s="11" t="str">
        <f t="shared" si="18"/>
        <v/>
      </c>
      <c r="S28" s="11" t="str">
        <f t="shared" si="8"/>
        <v/>
      </c>
      <c r="T28" s="11" t="str">
        <f t="shared" si="19"/>
        <v/>
      </c>
      <c r="W28" s="31" t="str">
        <f t="shared" si="20"/>
        <v/>
      </c>
      <c r="X28" s="15" t="str">
        <f t="shared" si="21"/>
        <v/>
      </c>
      <c r="Y28" s="15" t="str">
        <f t="shared" si="22"/>
        <v/>
      </c>
      <c r="Z28" s="16" t="str">
        <f t="shared" si="23"/>
        <v/>
      </c>
      <c r="AA28" s="14" t="str">
        <f t="shared" si="10"/>
        <v/>
      </c>
      <c r="AB28" s="15" t="str">
        <f t="shared" si="11"/>
        <v/>
      </c>
      <c r="AC28" s="15" t="str">
        <f t="shared" si="12"/>
        <v/>
      </c>
      <c r="AD28" s="16" t="str">
        <f t="shared" si="13"/>
        <v/>
      </c>
      <c r="AE28" s="14" t="str">
        <f t="shared" si="14"/>
        <v/>
      </c>
      <c r="AF28" s="15" t="str">
        <f t="shared" si="15"/>
        <v/>
      </c>
      <c r="AG28" s="15" t="str">
        <f t="shared" si="16"/>
        <v/>
      </c>
      <c r="AH28" s="32" t="str">
        <f t="shared" si="17"/>
        <v/>
      </c>
    </row>
    <row r="29" spans="1:34" x14ac:dyDescent="0.25">
      <c r="A29" s="54"/>
      <c r="B29" s="13"/>
      <c r="C29" s="9"/>
      <c r="D29" s="13"/>
      <c r="E29" s="20" t="str">
        <f t="shared" si="0"/>
        <v/>
      </c>
      <c r="F29" s="3" t="str">
        <f t="shared" si="1"/>
        <v/>
      </c>
      <c r="G29" s="22" t="str">
        <f t="shared" si="2"/>
        <v/>
      </c>
      <c r="I29" s="41" t="str">
        <f t="shared" si="3"/>
        <v/>
      </c>
      <c r="K29" s="45" t="str">
        <f t="shared" si="4"/>
        <v/>
      </c>
      <c r="M29" s="47" t="str">
        <f t="shared" si="5"/>
        <v/>
      </c>
      <c r="O29" s="50" t="str">
        <f t="shared" si="6"/>
        <v/>
      </c>
      <c r="Q29" s="26" t="str">
        <f t="shared" si="7"/>
        <v/>
      </c>
      <c r="R29" s="11" t="str">
        <f t="shared" si="18"/>
        <v/>
      </c>
      <c r="S29" s="11" t="str">
        <f t="shared" si="8"/>
        <v/>
      </c>
      <c r="T29" s="11" t="str">
        <f t="shared" si="19"/>
        <v/>
      </c>
      <c r="W29" s="31" t="str">
        <f t="shared" si="20"/>
        <v/>
      </c>
      <c r="X29" s="15" t="str">
        <f t="shared" si="21"/>
        <v/>
      </c>
      <c r="Y29" s="15" t="str">
        <f t="shared" si="22"/>
        <v/>
      </c>
      <c r="Z29" s="16" t="str">
        <f t="shared" si="23"/>
        <v/>
      </c>
      <c r="AA29" s="14" t="str">
        <f t="shared" si="10"/>
        <v/>
      </c>
      <c r="AB29" s="15" t="str">
        <f t="shared" si="11"/>
        <v/>
      </c>
      <c r="AC29" s="15" t="str">
        <f t="shared" si="12"/>
        <v/>
      </c>
      <c r="AD29" s="16" t="str">
        <f t="shared" si="13"/>
        <v/>
      </c>
      <c r="AE29" s="14" t="str">
        <f t="shared" si="14"/>
        <v/>
      </c>
      <c r="AF29" s="15" t="str">
        <f t="shared" si="15"/>
        <v/>
      </c>
      <c r="AG29" s="15" t="str">
        <f t="shared" si="16"/>
        <v/>
      </c>
      <c r="AH29" s="32" t="str">
        <f t="shared" si="17"/>
        <v/>
      </c>
    </row>
    <row r="30" spans="1:34" x14ac:dyDescent="0.25">
      <c r="A30" s="54"/>
      <c r="B30" s="13"/>
      <c r="C30" s="9"/>
      <c r="D30" s="13"/>
      <c r="E30" s="20" t="str">
        <f t="shared" si="0"/>
        <v/>
      </c>
      <c r="F30" s="3" t="str">
        <f t="shared" si="1"/>
        <v/>
      </c>
      <c r="G30" s="22" t="str">
        <f t="shared" si="2"/>
        <v/>
      </c>
      <c r="I30" s="41" t="str">
        <f t="shared" si="3"/>
        <v/>
      </c>
      <c r="K30" s="45" t="str">
        <f t="shared" si="4"/>
        <v/>
      </c>
      <c r="M30" s="47" t="str">
        <f t="shared" si="5"/>
        <v/>
      </c>
      <c r="O30" s="50" t="str">
        <f t="shared" si="6"/>
        <v/>
      </c>
      <c r="Q30" s="26" t="str">
        <f t="shared" si="7"/>
        <v/>
      </c>
      <c r="R30" s="11" t="str">
        <f t="shared" si="18"/>
        <v/>
      </c>
      <c r="S30" s="11" t="str">
        <f t="shared" si="8"/>
        <v/>
      </c>
      <c r="T30" s="11" t="str">
        <f t="shared" si="19"/>
        <v/>
      </c>
      <c r="W30" s="31" t="str">
        <f t="shared" si="20"/>
        <v/>
      </c>
      <c r="X30" s="15" t="str">
        <f t="shared" si="21"/>
        <v/>
      </c>
      <c r="Y30" s="15" t="str">
        <f t="shared" si="22"/>
        <v/>
      </c>
      <c r="Z30" s="16" t="str">
        <f t="shared" si="23"/>
        <v/>
      </c>
      <c r="AA30" s="14" t="str">
        <f t="shared" si="10"/>
        <v/>
      </c>
      <c r="AB30" s="15" t="str">
        <f t="shared" si="11"/>
        <v/>
      </c>
      <c r="AC30" s="15" t="str">
        <f t="shared" si="12"/>
        <v/>
      </c>
      <c r="AD30" s="16" t="str">
        <f t="shared" si="13"/>
        <v/>
      </c>
      <c r="AE30" s="14" t="str">
        <f t="shared" si="14"/>
        <v/>
      </c>
      <c r="AF30" s="15" t="str">
        <f t="shared" si="15"/>
        <v/>
      </c>
      <c r="AG30" s="15" t="str">
        <f t="shared" si="16"/>
        <v/>
      </c>
      <c r="AH30" s="32" t="str">
        <f t="shared" si="17"/>
        <v/>
      </c>
    </row>
    <row r="31" spans="1:34" x14ac:dyDescent="0.25">
      <c r="A31" s="54"/>
      <c r="B31" s="13"/>
      <c r="C31" s="9"/>
      <c r="D31" s="13"/>
      <c r="E31" s="20" t="str">
        <f t="shared" si="0"/>
        <v/>
      </c>
      <c r="F31" s="3" t="str">
        <f t="shared" si="1"/>
        <v/>
      </c>
      <c r="G31" s="22" t="str">
        <f t="shared" si="2"/>
        <v/>
      </c>
      <c r="I31" s="41" t="str">
        <f t="shared" si="3"/>
        <v/>
      </c>
      <c r="K31" s="45" t="str">
        <f t="shared" si="4"/>
        <v/>
      </c>
      <c r="M31" s="47" t="str">
        <f t="shared" si="5"/>
        <v/>
      </c>
      <c r="O31" s="50" t="str">
        <f t="shared" si="6"/>
        <v/>
      </c>
      <c r="Q31" s="26" t="str">
        <f t="shared" si="7"/>
        <v/>
      </c>
      <c r="R31" s="11" t="str">
        <f t="shared" si="18"/>
        <v/>
      </c>
      <c r="S31" s="11" t="str">
        <f t="shared" si="8"/>
        <v/>
      </c>
      <c r="T31" s="11" t="str">
        <f t="shared" si="19"/>
        <v/>
      </c>
      <c r="W31" s="31" t="str">
        <f t="shared" si="20"/>
        <v/>
      </c>
      <c r="X31" s="15" t="str">
        <f t="shared" si="21"/>
        <v/>
      </c>
      <c r="Y31" s="15" t="str">
        <f t="shared" si="22"/>
        <v/>
      </c>
      <c r="Z31" s="16" t="str">
        <f t="shared" si="23"/>
        <v/>
      </c>
      <c r="AA31" s="14" t="str">
        <f t="shared" si="10"/>
        <v/>
      </c>
      <c r="AB31" s="15" t="str">
        <f t="shared" si="11"/>
        <v/>
      </c>
      <c r="AC31" s="15" t="str">
        <f t="shared" si="12"/>
        <v/>
      </c>
      <c r="AD31" s="16" t="str">
        <f t="shared" si="13"/>
        <v/>
      </c>
      <c r="AE31" s="14" t="str">
        <f t="shared" si="14"/>
        <v/>
      </c>
      <c r="AF31" s="15" t="str">
        <f t="shared" si="15"/>
        <v/>
      </c>
      <c r="AG31" s="15" t="str">
        <f t="shared" si="16"/>
        <v/>
      </c>
      <c r="AH31" s="32" t="str">
        <f t="shared" si="17"/>
        <v/>
      </c>
    </row>
    <row r="32" spans="1:34" x14ac:dyDescent="0.25">
      <c r="A32" s="54"/>
      <c r="B32" s="13"/>
      <c r="C32" s="9"/>
      <c r="D32" s="13"/>
      <c r="E32" s="20" t="str">
        <f t="shared" si="0"/>
        <v/>
      </c>
      <c r="F32" s="3" t="str">
        <f t="shared" si="1"/>
        <v/>
      </c>
      <c r="G32" s="22" t="str">
        <f t="shared" si="2"/>
        <v/>
      </c>
      <c r="I32" s="41" t="str">
        <f t="shared" si="3"/>
        <v/>
      </c>
      <c r="K32" s="45" t="str">
        <f t="shared" si="4"/>
        <v/>
      </c>
      <c r="M32" s="47" t="str">
        <f t="shared" si="5"/>
        <v/>
      </c>
      <c r="O32" s="50" t="str">
        <f t="shared" si="6"/>
        <v/>
      </c>
      <c r="Q32" s="26" t="str">
        <f t="shared" si="7"/>
        <v/>
      </c>
      <c r="R32" s="11" t="str">
        <f t="shared" si="18"/>
        <v/>
      </c>
      <c r="S32" s="11" t="str">
        <f t="shared" si="8"/>
        <v/>
      </c>
      <c r="T32" s="11" t="str">
        <f t="shared" si="19"/>
        <v/>
      </c>
      <c r="W32" s="31" t="str">
        <f t="shared" si="20"/>
        <v/>
      </c>
      <c r="X32" s="15" t="str">
        <f t="shared" si="21"/>
        <v/>
      </c>
      <c r="Y32" s="15" t="str">
        <f t="shared" si="22"/>
        <v/>
      </c>
      <c r="Z32" s="16" t="str">
        <f t="shared" si="23"/>
        <v/>
      </c>
      <c r="AA32" s="14" t="str">
        <f t="shared" si="10"/>
        <v/>
      </c>
      <c r="AB32" s="15" t="str">
        <f t="shared" si="11"/>
        <v/>
      </c>
      <c r="AC32" s="15" t="str">
        <f t="shared" si="12"/>
        <v/>
      </c>
      <c r="AD32" s="16" t="str">
        <f t="shared" si="13"/>
        <v/>
      </c>
      <c r="AE32" s="14" t="str">
        <f t="shared" si="14"/>
        <v/>
      </c>
      <c r="AF32" s="15" t="str">
        <f t="shared" si="15"/>
        <v/>
      </c>
      <c r="AG32" s="15" t="str">
        <f t="shared" si="16"/>
        <v/>
      </c>
      <c r="AH32" s="32" t="str">
        <f t="shared" si="17"/>
        <v/>
      </c>
    </row>
    <row r="33" spans="1:34" x14ac:dyDescent="0.25">
      <c r="A33" s="54"/>
      <c r="B33" s="13"/>
      <c r="C33" s="9"/>
      <c r="D33" s="13"/>
      <c r="E33" s="20" t="str">
        <f t="shared" si="0"/>
        <v/>
      </c>
      <c r="F33" s="3" t="str">
        <f t="shared" si="1"/>
        <v/>
      </c>
      <c r="G33" s="22" t="str">
        <f t="shared" si="2"/>
        <v/>
      </c>
      <c r="I33" s="41" t="str">
        <f t="shared" si="3"/>
        <v/>
      </c>
      <c r="K33" s="45" t="str">
        <f t="shared" si="4"/>
        <v/>
      </c>
      <c r="M33" s="47" t="str">
        <f t="shared" si="5"/>
        <v/>
      </c>
      <c r="O33" s="50" t="str">
        <f t="shared" si="6"/>
        <v/>
      </c>
      <c r="Q33" s="26" t="str">
        <f t="shared" si="7"/>
        <v/>
      </c>
      <c r="R33" s="11" t="str">
        <f t="shared" si="18"/>
        <v/>
      </c>
      <c r="S33" s="11" t="str">
        <f t="shared" si="8"/>
        <v/>
      </c>
      <c r="T33" s="11" t="str">
        <f t="shared" si="19"/>
        <v/>
      </c>
      <c r="W33" s="31" t="str">
        <f t="shared" si="20"/>
        <v/>
      </c>
      <c r="X33" s="15" t="str">
        <f t="shared" si="21"/>
        <v/>
      </c>
      <c r="Y33" s="15" t="str">
        <f t="shared" si="22"/>
        <v/>
      </c>
      <c r="Z33" s="16" t="str">
        <f t="shared" si="23"/>
        <v/>
      </c>
      <c r="AA33" s="14" t="str">
        <f t="shared" si="10"/>
        <v/>
      </c>
      <c r="AB33" s="15" t="str">
        <f t="shared" si="11"/>
        <v/>
      </c>
      <c r="AC33" s="15" t="str">
        <f t="shared" si="12"/>
        <v/>
      </c>
      <c r="AD33" s="16" t="str">
        <f t="shared" si="13"/>
        <v/>
      </c>
      <c r="AE33" s="14" t="str">
        <f t="shared" si="14"/>
        <v/>
      </c>
      <c r="AF33" s="15" t="str">
        <f t="shared" si="15"/>
        <v/>
      </c>
      <c r="AG33" s="15" t="str">
        <f t="shared" si="16"/>
        <v/>
      </c>
      <c r="AH33" s="32" t="str">
        <f t="shared" si="17"/>
        <v/>
      </c>
    </row>
    <row r="34" spans="1:34" x14ac:dyDescent="0.25">
      <c r="A34" s="54"/>
      <c r="B34" s="13"/>
      <c r="C34" s="9"/>
      <c r="D34" s="13"/>
      <c r="E34" s="20" t="str">
        <f t="shared" si="0"/>
        <v/>
      </c>
      <c r="F34" s="3" t="str">
        <f t="shared" si="1"/>
        <v/>
      </c>
      <c r="G34" s="22" t="str">
        <f t="shared" si="2"/>
        <v/>
      </c>
      <c r="I34" s="41" t="str">
        <f t="shared" si="3"/>
        <v/>
      </c>
      <c r="K34" s="45" t="str">
        <f t="shared" si="4"/>
        <v/>
      </c>
      <c r="M34" s="47" t="str">
        <f t="shared" si="5"/>
        <v/>
      </c>
      <c r="O34" s="50" t="str">
        <f t="shared" si="6"/>
        <v/>
      </c>
      <c r="Q34" s="26" t="str">
        <f t="shared" si="7"/>
        <v/>
      </c>
      <c r="R34" s="11" t="str">
        <f t="shared" si="18"/>
        <v/>
      </c>
      <c r="S34" s="11" t="str">
        <f t="shared" si="8"/>
        <v/>
      </c>
      <c r="T34" s="11" t="str">
        <f t="shared" si="19"/>
        <v/>
      </c>
      <c r="W34" s="31" t="str">
        <f t="shared" si="20"/>
        <v/>
      </c>
      <c r="X34" s="15" t="str">
        <f t="shared" si="21"/>
        <v/>
      </c>
      <c r="Y34" s="15" t="str">
        <f t="shared" si="22"/>
        <v/>
      </c>
      <c r="Z34" s="16" t="str">
        <f t="shared" si="23"/>
        <v/>
      </c>
      <c r="AA34" s="14" t="str">
        <f t="shared" si="10"/>
        <v/>
      </c>
      <c r="AB34" s="15" t="str">
        <f t="shared" si="11"/>
        <v/>
      </c>
      <c r="AC34" s="15" t="str">
        <f t="shared" si="12"/>
        <v/>
      </c>
      <c r="AD34" s="16" t="str">
        <f t="shared" si="13"/>
        <v/>
      </c>
      <c r="AE34" s="14" t="str">
        <f t="shared" si="14"/>
        <v/>
      </c>
      <c r="AF34" s="15" t="str">
        <f t="shared" si="15"/>
        <v/>
      </c>
      <c r="AG34" s="15" t="str">
        <f t="shared" si="16"/>
        <v/>
      </c>
      <c r="AH34" s="32" t="str">
        <f t="shared" si="17"/>
        <v/>
      </c>
    </row>
    <row r="35" spans="1:34" x14ac:dyDescent="0.25">
      <c r="A35" s="54"/>
      <c r="B35" s="13"/>
      <c r="C35" s="9"/>
      <c r="D35" s="13"/>
      <c r="E35" s="20" t="str">
        <f t="shared" si="0"/>
        <v/>
      </c>
      <c r="F35" s="3" t="str">
        <f t="shared" si="1"/>
        <v/>
      </c>
      <c r="G35" s="22" t="str">
        <f t="shared" si="2"/>
        <v/>
      </c>
      <c r="I35" s="41" t="str">
        <f t="shared" si="3"/>
        <v/>
      </c>
      <c r="K35" s="45" t="str">
        <f t="shared" si="4"/>
        <v/>
      </c>
      <c r="M35" s="47" t="str">
        <f t="shared" si="5"/>
        <v/>
      </c>
      <c r="O35" s="50" t="str">
        <f t="shared" si="6"/>
        <v/>
      </c>
      <c r="Q35" s="26" t="str">
        <f t="shared" si="7"/>
        <v/>
      </c>
      <c r="R35" s="11" t="str">
        <f t="shared" si="18"/>
        <v/>
      </c>
      <c r="S35" s="11" t="str">
        <f t="shared" si="8"/>
        <v/>
      </c>
      <c r="T35" s="11" t="str">
        <f t="shared" si="19"/>
        <v/>
      </c>
      <c r="W35" s="31" t="str">
        <f t="shared" si="20"/>
        <v/>
      </c>
      <c r="X35" s="15" t="str">
        <f t="shared" si="21"/>
        <v/>
      </c>
      <c r="Y35" s="15" t="str">
        <f t="shared" si="22"/>
        <v/>
      </c>
      <c r="Z35" s="16" t="str">
        <f t="shared" si="23"/>
        <v/>
      </c>
      <c r="AA35" s="14" t="str">
        <f t="shared" si="10"/>
        <v/>
      </c>
      <c r="AB35" s="15" t="str">
        <f t="shared" si="11"/>
        <v/>
      </c>
      <c r="AC35" s="15" t="str">
        <f t="shared" si="12"/>
        <v/>
      </c>
      <c r="AD35" s="16" t="str">
        <f t="shared" si="13"/>
        <v/>
      </c>
      <c r="AE35" s="14" t="str">
        <f t="shared" si="14"/>
        <v/>
      </c>
      <c r="AF35" s="15" t="str">
        <f t="shared" si="15"/>
        <v/>
      </c>
      <c r="AG35" s="15" t="str">
        <f t="shared" si="16"/>
        <v/>
      </c>
      <c r="AH35" s="32" t="str">
        <f t="shared" si="17"/>
        <v/>
      </c>
    </row>
    <row r="36" spans="1:34" x14ac:dyDescent="0.25">
      <c r="A36" s="54"/>
      <c r="B36" s="13"/>
      <c r="C36" s="9"/>
      <c r="D36" s="13"/>
      <c r="E36" s="20" t="str">
        <f t="shared" si="0"/>
        <v/>
      </c>
      <c r="F36" s="3" t="str">
        <f t="shared" si="1"/>
        <v/>
      </c>
      <c r="G36" s="22" t="str">
        <f t="shared" si="2"/>
        <v/>
      </c>
      <c r="I36" s="41" t="str">
        <f t="shared" si="3"/>
        <v/>
      </c>
      <c r="K36" s="45" t="str">
        <f t="shared" si="4"/>
        <v/>
      </c>
      <c r="M36" s="47" t="str">
        <f t="shared" si="5"/>
        <v/>
      </c>
      <c r="O36" s="50" t="str">
        <f t="shared" si="6"/>
        <v/>
      </c>
      <c r="Q36" s="26" t="str">
        <f t="shared" si="7"/>
        <v/>
      </c>
      <c r="R36" s="11" t="str">
        <f t="shared" si="18"/>
        <v/>
      </c>
      <c r="S36" s="11" t="str">
        <f t="shared" si="8"/>
        <v/>
      </c>
      <c r="T36" s="11" t="str">
        <f t="shared" si="19"/>
        <v/>
      </c>
      <c r="W36" s="31" t="str">
        <f t="shared" si="20"/>
        <v/>
      </c>
      <c r="X36" s="15" t="str">
        <f t="shared" si="21"/>
        <v/>
      </c>
      <c r="Y36" s="15" t="str">
        <f t="shared" si="22"/>
        <v/>
      </c>
      <c r="Z36" s="16" t="str">
        <f t="shared" si="23"/>
        <v/>
      </c>
      <c r="AA36" s="14" t="str">
        <f t="shared" si="10"/>
        <v/>
      </c>
      <c r="AB36" s="15" t="str">
        <f t="shared" si="11"/>
        <v/>
      </c>
      <c r="AC36" s="15" t="str">
        <f t="shared" si="12"/>
        <v/>
      </c>
      <c r="AD36" s="16" t="str">
        <f t="shared" si="13"/>
        <v/>
      </c>
      <c r="AE36" s="14" t="str">
        <f t="shared" si="14"/>
        <v/>
      </c>
      <c r="AF36" s="15" t="str">
        <f t="shared" si="15"/>
        <v/>
      </c>
      <c r="AG36" s="15" t="str">
        <f t="shared" si="16"/>
        <v/>
      </c>
      <c r="AH36" s="32" t="str">
        <f t="shared" si="17"/>
        <v/>
      </c>
    </row>
    <row r="37" spans="1:34" x14ac:dyDescent="0.25">
      <c r="A37" s="54"/>
      <c r="B37" s="13"/>
      <c r="C37" s="9"/>
      <c r="D37" s="13"/>
      <c r="E37" s="20" t="str">
        <f t="shared" ref="E37:E68" si="24">IF(OR($T37="",$D37=""),"",IF($D37&gt;$B37,"INVALID Value! Max: " &amp; $B37,$AE37 &amp; "." &amp; $AF37 &amp; "." &amp;$AG37&amp;"."&amp;$AH37))</f>
        <v/>
      </c>
      <c r="F37" s="3" t="str">
        <f t="shared" ref="F37:F68" si="25">IF(T37="","",IF(OR(_xlfn.DECIMAL($W37,10)&gt;255,OR(_xlfn.DECIMAL($X37,10)&gt;255,OR(_xlfn.DECIMAL($Y37,10)&gt;255,_xlfn.DECIMAL($Z37,10)&gt;255))),"INVALID NETWORK!",""))</f>
        <v/>
      </c>
      <c r="G37" s="22" t="str">
        <f t="shared" ref="G37:G68" si="26">IF($T37="","",$W37 &amp; "." &amp; $X37 &amp; "." &amp;$Y37&amp;"."&amp;$Z37)</f>
        <v/>
      </c>
      <c r="I37" s="41" t="str">
        <f t="shared" ref="I37:I68" si="27">IF($T37="","",$W37 &amp; "." &amp; $X37 &amp; "." &amp;$Y37&amp;"."&amp; $Z37+1)</f>
        <v/>
      </c>
      <c r="K37" s="45" t="str">
        <f t="shared" ref="K37:K68" si="28">IF($T37="","",$W37 &amp; "." &amp; $X37 &amp; "." &amp;$Y37&amp;"."&amp; $Z37+2)</f>
        <v/>
      </c>
      <c r="M37" s="47" t="str">
        <f t="shared" ref="M37:M68" si="29">IF($T37="","",$AA37 &amp; "." &amp; $AB37 &amp; "." &amp;$AC37&amp;"."&amp;$AD37)</f>
        <v/>
      </c>
      <c r="O37" s="50" t="str">
        <f t="shared" ref="O37:O68" si="30">IF($T37="","",IF($R37&gt;8,255 &amp; "." &amp; IF($R37&gt;16,255 &amp; "." &amp; IF($R37&gt;24,255 &amp; "." &amp; IF($R37&gt;24,BIN2DEC(REPT(1,$R37-24) &amp; REPT(0,32-$R37)),0),BIN2DEC(REPT(1,$R37-16) &amp; REPT(0,24-$R37)) &amp; ".0"),BIN2DEC(REPT(1,$R37-8) &amp; REPT(0,16-$R37)) &amp; ".0.0"),BIN2DEC(REPT(1,$R37-0) &amp; REPT(0,8-$R37)) &amp; ".0.0.0"))</f>
        <v/>
      </c>
      <c r="Q37" s="26" t="str">
        <f t="shared" ref="Q37:Q68" si="31">IF($T37="","",$AA37 &amp; "." &amp; $AB37 &amp; "." &amp;$AC37&amp;"."&amp;$AD37+1)</f>
        <v/>
      </c>
      <c r="R37" s="11" t="str">
        <f t="shared" si="18"/>
        <v/>
      </c>
      <c r="S37" s="11" t="str">
        <f t="shared" ref="S37:S68" si="32">IF($T37="","",IF(MOD($R37,8)=0,1,2^(8-MOD($R37,8))))</f>
        <v/>
      </c>
      <c r="T37" s="11" t="str">
        <f t="shared" si="19"/>
        <v/>
      </c>
      <c r="W37" s="31" t="str">
        <f t="shared" si="20"/>
        <v/>
      </c>
      <c r="X37" s="15" t="str">
        <f t="shared" si="21"/>
        <v/>
      </c>
      <c r="Y37" s="15" t="str">
        <f t="shared" si="22"/>
        <v/>
      </c>
      <c r="Z37" s="16" t="str">
        <f t="shared" si="23"/>
        <v/>
      </c>
      <c r="AA37" s="14" t="str">
        <f t="shared" ref="AA37:AA68" si="33">IF($T37="","",MOD($W37+FLOOR(((2^(32-$R37))+((256^2)*$X37)-2)/(256^3),1),256))</f>
        <v/>
      </c>
      <c r="AB37" s="15" t="str">
        <f t="shared" ref="AB37:AB68" si="34">IF($T37="","",MOD($X37+FLOOR(((2^(32-$R37))+(256*$Y37)-2)/(256^2),1),256))</f>
        <v/>
      </c>
      <c r="AC37" s="15" t="str">
        <f t="shared" ref="AC37:AC68" si="35">IF($T37="","",MOD($Y37+FLOOR(((2^(32-$R37))+$Z37-2)/256,1),256))</f>
        <v/>
      </c>
      <c r="AD37" s="16" t="str">
        <f t="shared" ref="AD37:AD68" si="36">IF($T37="","",MOD($Z37+2^(32-$R37)-2,256))</f>
        <v/>
      </c>
      <c r="AE37" s="14" t="str">
        <f t="shared" ref="AE37:AE68" si="37">IF($D37="","",MOD($W37+FLOOR(($D37+1)/(256^3),1),256))</f>
        <v/>
      </c>
      <c r="AF37" s="15" t="str">
        <f t="shared" ref="AF37:AF68" si="38">IF($D37="","",MOD($X37+FLOOR(($D37+1)/(256^2),1),256))</f>
        <v/>
      </c>
      <c r="AG37" s="15" t="str">
        <f t="shared" ref="AG37:AG68" si="39">IF($D37="","",MOD($Y37+FLOOR(($D37+1)/256,1),256))</f>
        <v/>
      </c>
      <c r="AH37" s="32" t="str">
        <f t="shared" ref="AH37:AH68" si="40">IF($D37="","",MOD($Z37+$D37+1,256))</f>
        <v/>
      </c>
    </row>
    <row r="38" spans="1:34" x14ac:dyDescent="0.25">
      <c r="A38" s="54"/>
      <c r="B38" s="13"/>
      <c r="C38" s="9"/>
      <c r="D38" s="13"/>
      <c r="E38" s="20" t="str">
        <f t="shared" si="24"/>
        <v/>
      </c>
      <c r="F38" s="3" t="str">
        <f t="shared" si="25"/>
        <v/>
      </c>
      <c r="G38" s="22" t="str">
        <f t="shared" si="26"/>
        <v/>
      </c>
      <c r="I38" s="41" t="str">
        <f t="shared" si="27"/>
        <v/>
      </c>
      <c r="K38" s="45" t="str">
        <f t="shared" si="28"/>
        <v/>
      </c>
      <c r="M38" s="47" t="str">
        <f t="shared" si="29"/>
        <v/>
      </c>
      <c r="O38" s="50" t="str">
        <f t="shared" si="30"/>
        <v/>
      </c>
      <c r="Q38" s="26" t="str">
        <f t="shared" si="31"/>
        <v/>
      </c>
      <c r="R38" s="11" t="str">
        <f t="shared" si="18"/>
        <v/>
      </c>
      <c r="S38" s="11" t="str">
        <f t="shared" si="32"/>
        <v/>
      </c>
      <c r="T38" s="11" t="str">
        <f t="shared" si="19"/>
        <v/>
      </c>
      <c r="W38" s="31" t="str">
        <f t="shared" ref="W38:W69" si="41">IF($T38="","",MOD($W37+FLOOR(((2^(32-$R37))+((256^2)*$X37))/(256^3),1),256))</f>
        <v/>
      </c>
      <c r="X38" s="15" t="str">
        <f t="shared" ref="X38:X69" si="42">IF($T38="","",MOD($X37+FLOOR(((2^(32-$R37))+(256*$Y37))/(256^2),1),256))</f>
        <v/>
      </c>
      <c r="Y38" s="15" t="str">
        <f t="shared" ref="Y38:Y69" si="43">IF($T38="","",MOD($Y37+FLOOR(((2^(32-$R37))+$Z37)/256,1),256))</f>
        <v/>
      </c>
      <c r="Z38" s="16" t="str">
        <f t="shared" ref="Z38:Z69" si="44">IF($T38="","",MOD($Z37+2^(32-$R37),256))</f>
        <v/>
      </c>
      <c r="AA38" s="14" t="str">
        <f t="shared" si="33"/>
        <v/>
      </c>
      <c r="AB38" s="15" t="str">
        <f t="shared" si="34"/>
        <v/>
      </c>
      <c r="AC38" s="15" t="str">
        <f t="shared" si="35"/>
        <v/>
      </c>
      <c r="AD38" s="16" t="str">
        <f t="shared" si="36"/>
        <v/>
      </c>
      <c r="AE38" s="14" t="str">
        <f t="shared" si="37"/>
        <v/>
      </c>
      <c r="AF38" s="15" t="str">
        <f t="shared" si="38"/>
        <v/>
      </c>
      <c r="AG38" s="15" t="str">
        <f t="shared" si="39"/>
        <v/>
      </c>
      <c r="AH38" s="32" t="str">
        <f t="shared" si="40"/>
        <v/>
      </c>
    </row>
    <row r="39" spans="1:34" x14ac:dyDescent="0.25">
      <c r="A39" s="54"/>
      <c r="B39" s="13"/>
      <c r="C39" s="9"/>
      <c r="D39" s="13"/>
      <c r="E39" s="20" t="str">
        <f t="shared" si="24"/>
        <v/>
      </c>
      <c r="F39" s="3" t="str">
        <f t="shared" si="25"/>
        <v/>
      </c>
      <c r="G39" s="22" t="str">
        <f t="shared" si="26"/>
        <v/>
      </c>
      <c r="I39" s="41" t="str">
        <f t="shared" si="27"/>
        <v/>
      </c>
      <c r="K39" s="45" t="str">
        <f t="shared" si="28"/>
        <v/>
      </c>
      <c r="M39" s="47" t="str">
        <f t="shared" si="29"/>
        <v/>
      </c>
      <c r="O39" s="50" t="str">
        <f t="shared" si="30"/>
        <v/>
      </c>
      <c r="Q39" s="26" t="str">
        <f t="shared" si="31"/>
        <v/>
      </c>
      <c r="R39" s="11" t="str">
        <f t="shared" si="18"/>
        <v/>
      </c>
      <c r="S39" s="11" t="str">
        <f t="shared" si="32"/>
        <v/>
      </c>
      <c r="T39" s="11" t="str">
        <f t="shared" si="19"/>
        <v/>
      </c>
      <c r="W39" s="31" t="str">
        <f t="shared" si="41"/>
        <v/>
      </c>
      <c r="X39" s="15" t="str">
        <f t="shared" si="42"/>
        <v/>
      </c>
      <c r="Y39" s="15" t="str">
        <f t="shared" si="43"/>
        <v/>
      </c>
      <c r="Z39" s="16" t="str">
        <f t="shared" si="44"/>
        <v/>
      </c>
      <c r="AA39" s="14" t="str">
        <f t="shared" si="33"/>
        <v/>
      </c>
      <c r="AB39" s="15" t="str">
        <f t="shared" si="34"/>
        <v/>
      </c>
      <c r="AC39" s="15" t="str">
        <f t="shared" si="35"/>
        <v/>
      </c>
      <c r="AD39" s="16" t="str">
        <f t="shared" si="36"/>
        <v/>
      </c>
      <c r="AE39" s="14" t="str">
        <f t="shared" si="37"/>
        <v/>
      </c>
      <c r="AF39" s="15" t="str">
        <f t="shared" si="38"/>
        <v/>
      </c>
      <c r="AG39" s="15" t="str">
        <f t="shared" si="39"/>
        <v/>
      </c>
      <c r="AH39" s="32" t="str">
        <f t="shared" si="40"/>
        <v/>
      </c>
    </row>
    <row r="40" spans="1:34" x14ac:dyDescent="0.25">
      <c r="A40" s="54"/>
      <c r="B40" s="13"/>
      <c r="C40" s="9"/>
      <c r="D40" s="13"/>
      <c r="E40" s="20" t="str">
        <f t="shared" si="24"/>
        <v/>
      </c>
      <c r="F40" s="3" t="str">
        <f t="shared" si="25"/>
        <v/>
      </c>
      <c r="G40" s="22" t="str">
        <f t="shared" si="26"/>
        <v/>
      </c>
      <c r="I40" s="41" t="str">
        <f t="shared" si="27"/>
        <v/>
      </c>
      <c r="K40" s="45" t="str">
        <f t="shared" si="28"/>
        <v/>
      </c>
      <c r="M40" s="47" t="str">
        <f t="shared" si="29"/>
        <v/>
      </c>
      <c r="O40" s="50" t="str">
        <f t="shared" si="30"/>
        <v/>
      </c>
      <c r="Q40" s="26" t="str">
        <f t="shared" si="31"/>
        <v/>
      </c>
      <c r="R40" s="11" t="str">
        <f t="shared" si="18"/>
        <v/>
      </c>
      <c r="S40" s="11" t="str">
        <f t="shared" si="32"/>
        <v/>
      </c>
      <c r="T40" s="11" t="str">
        <f t="shared" si="19"/>
        <v/>
      </c>
      <c r="W40" s="31" t="str">
        <f t="shared" si="41"/>
        <v/>
      </c>
      <c r="X40" s="15" t="str">
        <f t="shared" si="42"/>
        <v/>
      </c>
      <c r="Y40" s="15" t="str">
        <f t="shared" si="43"/>
        <v/>
      </c>
      <c r="Z40" s="16" t="str">
        <f t="shared" si="44"/>
        <v/>
      </c>
      <c r="AA40" s="14" t="str">
        <f t="shared" si="33"/>
        <v/>
      </c>
      <c r="AB40" s="15" t="str">
        <f t="shared" si="34"/>
        <v/>
      </c>
      <c r="AC40" s="15" t="str">
        <f t="shared" si="35"/>
        <v/>
      </c>
      <c r="AD40" s="16" t="str">
        <f t="shared" si="36"/>
        <v/>
      </c>
      <c r="AE40" s="14" t="str">
        <f t="shared" si="37"/>
        <v/>
      </c>
      <c r="AF40" s="15" t="str">
        <f t="shared" si="38"/>
        <v/>
      </c>
      <c r="AG40" s="15" t="str">
        <f t="shared" si="39"/>
        <v/>
      </c>
      <c r="AH40" s="32" t="str">
        <f t="shared" si="40"/>
        <v/>
      </c>
    </row>
    <row r="41" spans="1:34" x14ac:dyDescent="0.25">
      <c r="A41" s="54"/>
      <c r="B41" s="13"/>
      <c r="C41" s="9"/>
      <c r="D41" s="13"/>
      <c r="E41" s="20" t="str">
        <f t="shared" si="24"/>
        <v/>
      </c>
      <c r="F41" s="3" t="str">
        <f t="shared" si="25"/>
        <v/>
      </c>
      <c r="G41" s="22" t="str">
        <f t="shared" si="26"/>
        <v/>
      </c>
      <c r="I41" s="41" t="str">
        <f t="shared" si="27"/>
        <v/>
      </c>
      <c r="K41" s="45" t="str">
        <f t="shared" si="28"/>
        <v/>
      </c>
      <c r="M41" s="47" t="str">
        <f t="shared" si="29"/>
        <v/>
      </c>
      <c r="O41" s="50" t="str">
        <f t="shared" si="30"/>
        <v/>
      </c>
      <c r="Q41" s="26" t="str">
        <f t="shared" si="31"/>
        <v/>
      </c>
      <c r="R41" s="11" t="str">
        <f t="shared" si="18"/>
        <v/>
      </c>
      <c r="S41" s="11" t="str">
        <f t="shared" si="32"/>
        <v/>
      </c>
      <c r="T41" s="11" t="str">
        <f t="shared" si="19"/>
        <v/>
      </c>
      <c r="W41" s="31" t="str">
        <f t="shared" si="41"/>
        <v/>
      </c>
      <c r="X41" s="15" t="str">
        <f t="shared" si="42"/>
        <v/>
      </c>
      <c r="Y41" s="15" t="str">
        <f t="shared" si="43"/>
        <v/>
      </c>
      <c r="Z41" s="16" t="str">
        <f t="shared" si="44"/>
        <v/>
      </c>
      <c r="AA41" s="14" t="str">
        <f t="shared" si="33"/>
        <v/>
      </c>
      <c r="AB41" s="15" t="str">
        <f t="shared" si="34"/>
        <v/>
      </c>
      <c r="AC41" s="15" t="str">
        <f t="shared" si="35"/>
        <v/>
      </c>
      <c r="AD41" s="16" t="str">
        <f t="shared" si="36"/>
        <v/>
      </c>
      <c r="AE41" s="14" t="str">
        <f t="shared" si="37"/>
        <v/>
      </c>
      <c r="AF41" s="15" t="str">
        <f t="shared" si="38"/>
        <v/>
      </c>
      <c r="AG41" s="15" t="str">
        <f t="shared" si="39"/>
        <v/>
      </c>
      <c r="AH41" s="32" t="str">
        <f t="shared" si="40"/>
        <v/>
      </c>
    </row>
    <row r="42" spans="1:34" x14ac:dyDescent="0.25">
      <c r="A42" s="54"/>
      <c r="B42" s="13"/>
      <c r="C42" s="9"/>
      <c r="D42" s="13"/>
      <c r="E42" s="20" t="str">
        <f t="shared" si="24"/>
        <v/>
      </c>
      <c r="F42" s="3" t="str">
        <f t="shared" si="25"/>
        <v/>
      </c>
      <c r="G42" s="22" t="str">
        <f t="shared" si="26"/>
        <v/>
      </c>
      <c r="I42" s="41" t="str">
        <f t="shared" si="27"/>
        <v/>
      </c>
      <c r="K42" s="45" t="str">
        <f t="shared" si="28"/>
        <v/>
      </c>
      <c r="M42" s="47" t="str">
        <f t="shared" si="29"/>
        <v/>
      </c>
      <c r="O42" s="50" t="str">
        <f t="shared" si="30"/>
        <v/>
      </c>
      <c r="Q42" s="26" t="str">
        <f t="shared" si="31"/>
        <v/>
      </c>
      <c r="R42" s="11" t="str">
        <f t="shared" si="18"/>
        <v/>
      </c>
      <c r="S42" s="11" t="str">
        <f t="shared" si="32"/>
        <v/>
      </c>
      <c r="T42" s="11" t="str">
        <f t="shared" si="19"/>
        <v/>
      </c>
      <c r="W42" s="31" t="str">
        <f t="shared" si="41"/>
        <v/>
      </c>
      <c r="X42" s="15" t="str">
        <f t="shared" si="42"/>
        <v/>
      </c>
      <c r="Y42" s="15" t="str">
        <f t="shared" si="43"/>
        <v/>
      </c>
      <c r="Z42" s="16" t="str">
        <f t="shared" si="44"/>
        <v/>
      </c>
      <c r="AA42" s="14" t="str">
        <f t="shared" si="33"/>
        <v/>
      </c>
      <c r="AB42" s="15" t="str">
        <f t="shared" si="34"/>
        <v/>
      </c>
      <c r="AC42" s="15" t="str">
        <f t="shared" si="35"/>
        <v/>
      </c>
      <c r="AD42" s="16" t="str">
        <f t="shared" si="36"/>
        <v/>
      </c>
      <c r="AE42" s="14" t="str">
        <f t="shared" si="37"/>
        <v/>
      </c>
      <c r="AF42" s="15" t="str">
        <f t="shared" si="38"/>
        <v/>
      </c>
      <c r="AG42" s="15" t="str">
        <f t="shared" si="39"/>
        <v/>
      </c>
      <c r="AH42" s="32" t="str">
        <f t="shared" si="40"/>
        <v/>
      </c>
    </row>
    <row r="43" spans="1:34" x14ac:dyDescent="0.25">
      <c r="A43" s="54"/>
      <c r="B43" s="13"/>
      <c r="C43" s="9"/>
      <c r="D43" s="13"/>
      <c r="E43" s="20" t="str">
        <f t="shared" si="24"/>
        <v/>
      </c>
      <c r="F43" s="3" t="str">
        <f t="shared" si="25"/>
        <v/>
      </c>
      <c r="G43" s="22" t="str">
        <f t="shared" si="26"/>
        <v/>
      </c>
      <c r="I43" s="41" t="str">
        <f t="shared" si="27"/>
        <v/>
      </c>
      <c r="K43" s="45" t="str">
        <f t="shared" si="28"/>
        <v/>
      </c>
      <c r="M43" s="47" t="str">
        <f t="shared" si="29"/>
        <v/>
      </c>
      <c r="O43" s="50" t="str">
        <f t="shared" si="30"/>
        <v/>
      </c>
      <c r="Q43" s="26" t="str">
        <f t="shared" si="31"/>
        <v/>
      </c>
      <c r="R43" s="11" t="str">
        <f t="shared" si="18"/>
        <v/>
      </c>
      <c r="S43" s="11" t="str">
        <f t="shared" si="32"/>
        <v/>
      </c>
      <c r="T43" s="11" t="str">
        <f t="shared" si="19"/>
        <v/>
      </c>
      <c r="W43" s="31" t="str">
        <f t="shared" si="41"/>
        <v/>
      </c>
      <c r="X43" s="15" t="str">
        <f t="shared" si="42"/>
        <v/>
      </c>
      <c r="Y43" s="15" t="str">
        <f t="shared" si="43"/>
        <v/>
      </c>
      <c r="Z43" s="16" t="str">
        <f t="shared" si="44"/>
        <v/>
      </c>
      <c r="AA43" s="14" t="str">
        <f t="shared" si="33"/>
        <v/>
      </c>
      <c r="AB43" s="15" t="str">
        <f t="shared" si="34"/>
        <v/>
      </c>
      <c r="AC43" s="15" t="str">
        <f t="shared" si="35"/>
        <v/>
      </c>
      <c r="AD43" s="16" t="str">
        <f t="shared" si="36"/>
        <v/>
      </c>
      <c r="AE43" s="14" t="str">
        <f t="shared" si="37"/>
        <v/>
      </c>
      <c r="AF43" s="15" t="str">
        <f t="shared" si="38"/>
        <v/>
      </c>
      <c r="AG43" s="15" t="str">
        <f t="shared" si="39"/>
        <v/>
      </c>
      <c r="AH43" s="32" t="str">
        <f t="shared" si="40"/>
        <v/>
      </c>
    </row>
    <row r="44" spans="1:34" x14ac:dyDescent="0.25">
      <c r="A44" s="54"/>
      <c r="B44" s="13"/>
      <c r="C44" s="9"/>
      <c r="D44" s="13"/>
      <c r="E44" s="20" t="str">
        <f t="shared" si="24"/>
        <v/>
      </c>
      <c r="F44" s="3" t="str">
        <f t="shared" si="25"/>
        <v/>
      </c>
      <c r="G44" s="22" t="str">
        <f t="shared" si="26"/>
        <v/>
      </c>
      <c r="I44" s="41" t="str">
        <f t="shared" si="27"/>
        <v/>
      </c>
      <c r="K44" s="45" t="str">
        <f t="shared" si="28"/>
        <v/>
      </c>
      <c r="M44" s="47" t="str">
        <f t="shared" si="29"/>
        <v/>
      </c>
      <c r="O44" s="50" t="str">
        <f t="shared" si="30"/>
        <v/>
      </c>
      <c r="Q44" s="26" t="str">
        <f t="shared" si="31"/>
        <v/>
      </c>
      <c r="R44" s="11" t="str">
        <f t="shared" si="18"/>
        <v/>
      </c>
      <c r="S44" s="11" t="str">
        <f t="shared" si="32"/>
        <v/>
      </c>
      <c r="T44" s="11" t="str">
        <f t="shared" si="19"/>
        <v/>
      </c>
      <c r="W44" s="31" t="str">
        <f t="shared" si="41"/>
        <v/>
      </c>
      <c r="X44" s="15" t="str">
        <f t="shared" si="42"/>
        <v/>
      </c>
      <c r="Y44" s="15" t="str">
        <f t="shared" si="43"/>
        <v/>
      </c>
      <c r="Z44" s="16" t="str">
        <f t="shared" si="44"/>
        <v/>
      </c>
      <c r="AA44" s="14" t="str">
        <f t="shared" si="33"/>
        <v/>
      </c>
      <c r="AB44" s="15" t="str">
        <f t="shared" si="34"/>
        <v/>
      </c>
      <c r="AC44" s="15" t="str">
        <f t="shared" si="35"/>
        <v/>
      </c>
      <c r="AD44" s="16" t="str">
        <f t="shared" si="36"/>
        <v/>
      </c>
      <c r="AE44" s="14" t="str">
        <f t="shared" si="37"/>
        <v/>
      </c>
      <c r="AF44" s="15" t="str">
        <f t="shared" si="38"/>
        <v/>
      </c>
      <c r="AG44" s="15" t="str">
        <f t="shared" si="39"/>
        <v/>
      </c>
      <c r="AH44" s="32" t="str">
        <f t="shared" si="40"/>
        <v/>
      </c>
    </row>
    <row r="45" spans="1:34" x14ac:dyDescent="0.25">
      <c r="A45" s="54"/>
      <c r="B45" s="13"/>
      <c r="C45" s="9"/>
      <c r="D45" s="13"/>
      <c r="E45" s="20" t="str">
        <f t="shared" si="24"/>
        <v/>
      </c>
      <c r="F45" s="3" t="str">
        <f t="shared" si="25"/>
        <v/>
      </c>
      <c r="G45" s="22" t="str">
        <f t="shared" si="26"/>
        <v/>
      </c>
      <c r="I45" s="41" t="str">
        <f t="shared" si="27"/>
        <v/>
      </c>
      <c r="K45" s="45" t="str">
        <f t="shared" si="28"/>
        <v/>
      </c>
      <c r="M45" s="47" t="str">
        <f t="shared" si="29"/>
        <v/>
      </c>
      <c r="O45" s="50" t="str">
        <f t="shared" si="30"/>
        <v/>
      </c>
      <c r="Q45" s="26" t="str">
        <f t="shared" si="31"/>
        <v/>
      </c>
      <c r="R45" s="11" t="str">
        <f t="shared" si="18"/>
        <v/>
      </c>
      <c r="S45" s="11" t="str">
        <f t="shared" si="32"/>
        <v/>
      </c>
      <c r="T45" s="11" t="str">
        <f t="shared" si="19"/>
        <v/>
      </c>
      <c r="W45" s="31" t="str">
        <f t="shared" si="41"/>
        <v/>
      </c>
      <c r="X45" s="15" t="str">
        <f t="shared" si="42"/>
        <v/>
      </c>
      <c r="Y45" s="15" t="str">
        <f t="shared" si="43"/>
        <v/>
      </c>
      <c r="Z45" s="16" t="str">
        <f t="shared" si="44"/>
        <v/>
      </c>
      <c r="AA45" s="14" t="str">
        <f t="shared" si="33"/>
        <v/>
      </c>
      <c r="AB45" s="15" t="str">
        <f t="shared" si="34"/>
        <v/>
      </c>
      <c r="AC45" s="15" t="str">
        <f t="shared" si="35"/>
        <v/>
      </c>
      <c r="AD45" s="16" t="str">
        <f t="shared" si="36"/>
        <v/>
      </c>
      <c r="AE45" s="14" t="str">
        <f t="shared" si="37"/>
        <v/>
      </c>
      <c r="AF45" s="15" t="str">
        <f t="shared" si="38"/>
        <v/>
      </c>
      <c r="AG45" s="15" t="str">
        <f t="shared" si="39"/>
        <v/>
      </c>
      <c r="AH45" s="32" t="str">
        <f t="shared" si="40"/>
        <v/>
      </c>
    </row>
    <row r="46" spans="1:34" x14ac:dyDescent="0.25">
      <c r="A46" s="54"/>
      <c r="B46" s="13"/>
      <c r="C46" s="9"/>
      <c r="D46" s="13"/>
      <c r="E46" s="20" t="str">
        <f t="shared" si="24"/>
        <v/>
      </c>
      <c r="F46" s="3" t="str">
        <f t="shared" si="25"/>
        <v/>
      </c>
      <c r="G46" s="22" t="str">
        <f t="shared" si="26"/>
        <v/>
      </c>
      <c r="I46" s="41" t="str">
        <f t="shared" si="27"/>
        <v/>
      </c>
      <c r="K46" s="45" t="str">
        <f t="shared" si="28"/>
        <v/>
      </c>
      <c r="M46" s="47" t="str">
        <f t="shared" si="29"/>
        <v/>
      </c>
      <c r="O46" s="50" t="str">
        <f t="shared" si="30"/>
        <v/>
      </c>
      <c r="Q46" s="26" t="str">
        <f t="shared" si="31"/>
        <v/>
      </c>
      <c r="R46" s="11" t="str">
        <f t="shared" si="18"/>
        <v/>
      </c>
      <c r="S46" s="11" t="str">
        <f t="shared" si="32"/>
        <v/>
      </c>
      <c r="T46" s="11" t="str">
        <f t="shared" si="19"/>
        <v/>
      </c>
      <c r="W46" s="31" t="str">
        <f t="shared" si="41"/>
        <v/>
      </c>
      <c r="X46" s="15" t="str">
        <f t="shared" si="42"/>
        <v/>
      </c>
      <c r="Y46" s="15" t="str">
        <f t="shared" si="43"/>
        <v/>
      </c>
      <c r="Z46" s="16" t="str">
        <f t="shared" si="44"/>
        <v/>
      </c>
      <c r="AA46" s="14" t="str">
        <f t="shared" si="33"/>
        <v/>
      </c>
      <c r="AB46" s="15" t="str">
        <f t="shared" si="34"/>
        <v/>
      </c>
      <c r="AC46" s="15" t="str">
        <f t="shared" si="35"/>
        <v/>
      </c>
      <c r="AD46" s="16" t="str">
        <f t="shared" si="36"/>
        <v/>
      </c>
      <c r="AE46" s="14" t="str">
        <f t="shared" si="37"/>
        <v/>
      </c>
      <c r="AF46" s="15" t="str">
        <f t="shared" si="38"/>
        <v/>
      </c>
      <c r="AG46" s="15" t="str">
        <f t="shared" si="39"/>
        <v/>
      </c>
      <c r="AH46" s="32" t="str">
        <f t="shared" si="40"/>
        <v/>
      </c>
    </row>
    <row r="47" spans="1:34" x14ac:dyDescent="0.25">
      <c r="A47" s="54"/>
      <c r="B47" s="13"/>
      <c r="C47" s="9"/>
      <c r="D47" s="13"/>
      <c r="E47" s="20" t="str">
        <f t="shared" si="24"/>
        <v/>
      </c>
      <c r="F47" s="3" t="str">
        <f t="shared" si="25"/>
        <v/>
      </c>
      <c r="G47" s="22" t="str">
        <f t="shared" si="26"/>
        <v/>
      </c>
      <c r="I47" s="41" t="str">
        <f t="shared" si="27"/>
        <v/>
      </c>
      <c r="K47" s="45" t="str">
        <f t="shared" si="28"/>
        <v/>
      </c>
      <c r="M47" s="47" t="str">
        <f t="shared" si="29"/>
        <v/>
      </c>
      <c r="O47" s="50" t="str">
        <f t="shared" si="30"/>
        <v/>
      </c>
      <c r="Q47" s="26" t="str">
        <f t="shared" si="31"/>
        <v/>
      </c>
      <c r="R47" s="11" t="str">
        <f t="shared" si="18"/>
        <v/>
      </c>
      <c r="S47" s="11" t="str">
        <f t="shared" si="32"/>
        <v/>
      </c>
      <c r="T47" s="11" t="str">
        <f t="shared" si="19"/>
        <v/>
      </c>
      <c r="W47" s="31" t="str">
        <f t="shared" si="41"/>
        <v/>
      </c>
      <c r="X47" s="15" t="str">
        <f t="shared" si="42"/>
        <v/>
      </c>
      <c r="Y47" s="15" t="str">
        <f t="shared" si="43"/>
        <v/>
      </c>
      <c r="Z47" s="16" t="str">
        <f t="shared" si="44"/>
        <v/>
      </c>
      <c r="AA47" s="14" t="str">
        <f t="shared" si="33"/>
        <v/>
      </c>
      <c r="AB47" s="15" t="str">
        <f t="shared" si="34"/>
        <v/>
      </c>
      <c r="AC47" s="15" t="str">
        <f t="shared" si="35"/>
        <v/>
      </c>
      <c r="AD47" s="16" t="str">
        <f t="shared" si="36"/>
        <v/>
      </c>
      <c r="AE47" s="14" t="str">
        <f t="shared" si="37"/>
        <v/>
      </c>
      <c r="AF47" s="15" t="str">
        <f t="shared" si="38"/>
        <v/>
      </c>
      <c r="AG47" s="15" t="str">
        <f t="shared" si="39"/>
        <v/>
      </c>
      <c r="AH47" s="32" t="str">
        <f t="shared" si="40"/>
        <v/>
      </c>
    </row>
    <row r="48" spans="1:34" x14ac:dyDescent="0.25">
      <c r="A48" s="54"/>
      <c r="B48" s="13"/>
      <c r="C48" s="9"/>
      <c r="D48" s="13"/>
      <c r="E48" s="20" t="str">
        <f t="shared" si="24"/>
        <v/>
      </c>
      <c r="F48" s="3" t="str">
        <f t="shared" si="25"/>
        <v/>
      </c>
      <c r="G48" s="22" t="str">
        <f t="shared" si="26"/>
        <v/>
      </c>
      <c r="I48" s="41" t="str">
        <f t="shared" si="27"/>
        <v/>
      </c>
      <c r="K48" s="45" t="str">
        <f t="shared" si="28"/>
        <v/>
      </c>
      <c r="M48" s="47" t="str">
        <f t="shared" si="29"/>
        <v/>
      </c>
      <c r="O48" s="50" t="str">
        <f t="shared" si="30"/>
        <v/>
      </c>
      <c r="Q48" s="26" t="str">
        <f t="shared" si="31"/>
        <v/>
      </c>
      <c r="R48" s="11" t="str">
        <f t="shared" si="18"/>
        <v/>
      </c>
      <c r="S48" s="11" t="str">
        <f t="shared" si="32"/>
        <v/>
      </c>
      <c r="T48" s="11" t="str">
        <f t="shared" si="19"/>
        <v/>
      </c>
      <c r="W48" s="31" t="str">
        <f t="shared" si="41"/>
        <v/>
      </c>
      <c r="X48" s="15" t="str">
        <f t="shared" si="42"/>
        <v/>
      </c>
      <c r="Y48" s="15" t="str">
        <f t="shared" si="43"/>
        <v/>
      </c>
      <c r="Z48" s="16" t="str">
        <f t="shared" si="44"/>
        <v/>
      </c>
      <c r="AA48" s="14" t="str">
        <f t="shared" si="33"/>
        <v/>
      </c>
      <c r="AB48" s="15" t="str">
        <f t="shared" si="34"/>
        <v/>
      </c>
      <c r="AC48" s="15" t="str">
        <f t="shared" si="35"/>
        <v/>
      </c>
      <c r="AD48" s="16" t="str">
        <f t="shared" si="36"/>
        <v/>
      </c>
      <c r="AE48" s="14" t="str">
        <f t="shared" si="37"/>
        <v/>
      </c>
      <c r="AF48" s="15" t="str">
        <f t="shared" si="38"/>
        <v/>
      </c>
      <c r="AG48" s="15" t="str">
        <f t="shared" si="39"/>
        <v/>
      </c>
      <c r="AH48" s="32" t="str">
        <f t="shared" si="40"/>
        <v/>
      </c>
    </row>
    <row r="49" spans="1:34" x14ac:dyDescent="0.25">
      <c r="A49" s="54"/>
      <c r="B49" s="13"/>
      <c r="C49" s="9"/>
      <c r="D49" s="13"/>
      <c r="E49" s="20" t="str">
        <f t="shared" si="24"/>
        <v/>
      </c>
      <c r="F49" s="3" t="str">
        <f t="shared" si="25"/>
        <v/>
      </c>
      <c r="G49" s="22" t="str">
        <f t="shared" si="26"/>
        <v/>
      </c>
      <c r="I49" s="41" t="str">
        <f t="shared" si="27"/>
        <v/>
      </c>
      <c r="K49" s="45" t="str">
        <f t="shared" si="28"/>
        <v/>
      </c>
      <c r="M49" s="47" t="str">
        <f t="shared" si="29"/>
        <v/>
      </c>
      <c r="O49" s="50" t="str">
        <f t="shared" si="30"/>
        <v/>
      </c>
      <c r="Q49" s="26" t="str">
        <f t="shared" si="31"/>
        <v/>
      </c>
      <c r="R49" s="11" t="str">
        <f t="shared" si="18"/>
        <v/>
      </c>
      <c r="S49" s="11" t="str">
        <f t="shared" si="32"/>
        <v/>
      </c>
      <c r="T49" s="11" t="str">
        <f t="shared" si="19"/>
        <v/>
      </c>
      <c r="W49" s="31" t="str">
        <f t="shared" si="41"/>
        <v/>
      </c>
      <c r="X49" s="15" t="str">
        <f t="shared" si="42"/>
        <v/>
      </c>
      <c r="Y49" s="15" t="str">
        <f t="shared" si="43"/>
        <v/>
      </c>
      <c r="Z49" s="16" t="str">
        <f t="shared" si="44"/>
        <v/>
      </c>
      <c r="AA49" s="14" t="str">
        <f t="shared" si="33"/>
        <v/>
      </c>
      <c r="AB49" s="15" t="str">
        <f t="shared" si="34"/>
        <v/>
      </c>
      <c r="AC49" s="15" t="str">
        <f t="shared" si="35"/>
        <v/>
      </c>
      <c r="AD49" s="16" t="str">
        <f t="shared" si="36"/>
        <v/>
      </c>
      <c r="AE49" s="14" t="str">
        <f t="shared" si="37"/>
        <v/>
      </c>
      <c r="AF49" s="15" t="str">
        <f t="shared" si="38"/>
        <v/>
      </c>
      <c r="AG49" s="15" t="str">
        <f t="shared" si="39"/>
        <v/>
      </c>
      <c r="AH49" s="32" t="str">
        <f t="shared" si="40"/>
        <v/>
      </c>
    </row>
    <row r="50" spans="1:34" x14ac:dyDescent="0.25">
      <c r="A50" s="54"/>
      <c r="B50" s="13"/>
      <c r="C50" s="9"/>
      <c r="D50" s="13"/>
      <c r="E50" s="20" t="str">
        <f t="shared" si="24"/>
        <v/>
      </c>
      <c r="F50" s="3" t="str">
        <f t="shared" si="25"/>
        <v/>
      </c>
      <c r="G50" s="22" t="str">
        <f t="shared" si="26"/>
        <v/>
      </c>
      <c r="I50" s="41" t="str">
        <f t="shared" si="27"/>
        <v/>
      </c>
      <c r="K50" s="45" t="str">
        <f t="shared" si="28"/>
        <v/>
      </c>
      <c r="M50" s="47" t="str">
        <f t="shared" si="29"/>
        <v/>
      </c>
      <c r="O50" s="50" t="str">
        <f t="shared" si="30"/>
        <v/>
      </c>
      <c r="Q50" s="26" t="str">
        <f t="shared" si="31"/>
        <v/>
      </c>
      <c r="R50" s="11" t="str">
        <f t="shared" si="18"/>
        <v/>
      </c>
      <c r="S50" s="11" t="str">
        <f t="shared" si="32"/>
        <v/>
      </c>
      <c r="T50" s="11" t="str">
        <f t="shared" si="19"/>
        <v/>
      </c>
      <c r="W50" s="31" t="str">
        <f t="shared" si="41"/>
        <v/>
      </c>
      <c r="X50" s="15" t="str">
        <f t="shared" si="42"/>
        <v/>
      </c>
      <c r="Y50" s="15" t="str">
        <f t="shared" si="43"/>
        <v/>
      </c>
      <c r="Z50" s="16" t="str">
        <f t="shared" si="44"/>
        <v/>
      </c>
      <c r="AA50" s="14" t="str">
        <f t="shared" si="33"/>
        <v/>
      </c>
      <c r="AB50" s="15" t="str">
        <f t="shared" si="34"/>
        <v/>
      </c>
      <c r="AC50" s="15" t="str">
        <f t="shared" si="35"/>
        <v/>
      </c>
      <c r="AD50" s="16" t="str">
        <f t="shared" si="36"/>
        <v/>
      </c>
      <c r="AE50" s="14" t="str">
        <f t="shared" si="37"/>
        <v/>
      </c>
      <c r="AF50" s="15" t="str">
        <f t="shared" si="38"/>
        <v/>
      </c>
      <c r="AG50" s="15" t="str">
        <f t="shared" si="39"/>
        <v/>
      </c>
      <c r="AH50" s="32" t="str">
        <f t="shared" si="40"/>
        <v/>
      </c>
    </row>
    <row r="51" spans="1:34" x14ac:dyDescent="0.25">
      <c r="A51" s="54"/>
      <c r="B51" s="13"/>
      <c r="C51" s="9"/>
      <c r="D51" s="13"/>
      <c r="E51" s="20" t="str">
        <f t="shared" si="24"/>
        <v/>
      </c>
      <c r="F51" s="3" t="str">
        <f t="shared" si="25"/>
        <v/>
      </c>
      <c r="G51" s="22" t="str">
        <f t="shared" si="26"/>
        <v/>
      </c>
      <c r="I51" s="41" t="str">
        <f t="shared" si="27"/>
        <v/>
      </c>
      <c r="K51" s="45" t="str">
        <f t="shared" si="28"/>
        <v/>
      </c>
      <c r="M51" s="47" t="str">
        <f t="shared" si="29"/>
        <v/>
      </c>
      <c r="O51" s="50" t="str">
        <f t="shared" si="30"/>
        <v/>
      </c>
      <c r="Q51" s="26" t="str">
        <f t="shared" si="31"/>
        <v/>
      </c>
      <c r="R51" s="11" t="str">
        <f t="shared" si="18"/>
        <v/>
      </c>
      <c r="S51" s="11" t="str">
        <f t="shared" si="32"/>
        <v/>
      </c>
      <c r="T51" s="11" t="str">
        <f t="shared" si="19"/>
        <v/>
      </c>
      <c r="W51" s="31" t="str">
        <f t="shared" si="41"/>
        <v/>
      </c>
      <c r="X51" s="15" t="str">
        <f t="shared" si="42"/>
        <v/>
      </c>
      <c r="Y51" s="15" t="str">
        <f t="shared" si="43"/>
        <v/>
      </c>
      <c r="Z51" s="16" t="str">
        <f t="shared" si="44"/>
        <v/>
      </c>
      <c r="AA51" s="14" t="str">
        <f t="shared" si="33"/>
        <v/>
      </c>
      <c r="AB51" s="15" t="str">
        <f t="shared" si="34"/>
        <v/>
      </c>
      <c r="AC51" s="15" t="str">
        <f t="shared" si="35"/>
        <v/>
      </c>
      <c r="AD51" s="16" t="str">
        <f t="shared" si="36"/>
        <v/>
      </c>
      <c r="AE51" s="14" t="str">
        <f t="shared" si="37"/>
        <v/>
      </c>
      <c r="AF51" s="15" t="str">
        <f t="shared" si="38"/>
        <v/>
      </c>
      <c r="AG51" s="15" t="str">
        <f t="shared" si="39"/>
        <v/>
      </c>
      <c r="AH51" s="32" t="str">
        <f t="shared" si="40"/>
        <v/>
      </c>
    </row>
    <row r="52" spans="1:34" x14ac:dyDescent="0.25">
      <c r="A52" s="54"/>
      <c r="B52" s="13"/>
      <c r="C52" s="9"/>
      <c r="D52" s="13"/>
      <c r="E52" s="20" t="str">
        <f t="shared" si="24"/>
        <v/>
      </c>
      <c r="F52" s="3" t="str">
        <f t="shared" si="25"/>
        <v/>
      </c>
      <c r="G52" s="22" t="str">
        <f t="shared" si="26"/>
        <v/>
      </c>
      <c r="I52" s="41" t="str">
        <f t="shared" si="27"/>
        <v/>
      </c>
      <c r="K52" s="45" t="str">
        <f t="shared" si="28"/>
        <v/>
      </c>
      <c r="M52" s="47" t="str">
        <f t="shared" si="29"/>
        <v/>
      </c>
      <c r="O52" s="50" t="str">
        <f t="shared" si="30"/>
        <v/>
      </c>
      <c r="Q52" s="26" t="str">
        <f t="shared" si="31"/>
        <v/>
      </c>
      <c r="R52" s="11" t="str">
        <f t="shared" si="18"/>
        <v/>
      </c>
      <c r="S52" s="11" t="str">
        <f t="shared" si="32"/>
        <v/>
      </c>
      <c r="T52" s="11" t="str">
        <f t="shared" si="19"/>
        <v/>
      </c>
      <c r="W52" s="31" t="str">
        <f t="shared" si="41"/>
        <v/>
      </c>
      <c r="X52" s="15" t="str">
        <f t="shared" si="42"/>
        <v/>
      </c>
      <c r="Y52" s="15" t="str">
        <f t="shared" si="43"/>
        <v/>
      </c>
      <c r="Z52" s="16" t="str">
        <f t="shared" si="44"/>
        <v/>
      </c>
      <c r="AA52" s="14" t="str">
        <f t="shared" si="33"/>
        <v/>
      </c>
      <c r="AB52" s="15" t="str">
        <f t="shared" si="34"/>
        <v/>
      </c>
      <c r="AC52" s="15" t="str">
        <f t="shared" si="35"/>
        <v/>
      </c>
      <c r="AD52" s="16" t="str">
        <f t="shared" si="36"/>
        <v/>
      </c>
      <c r="AE52" s="14" t="str">
        <f t="shared" si="37"/>
        <v/>
      </c>
      <c r="AF52" s="15" t="str">
        <f t="shared" si="38"/>
        <v/>
      </c>
      <c r="AG52" s="15" t="str">
        <f t="shared" si="39"/>
        <v/>
      </c>
      <c r="AH52" s="32" t="str">
        <f t="shared" si="40"/>
        <v/>
      </c>
    </row>
    <row r="53" spans="1:34" x14ac:dyDescent="0.25">
      <c r="A53" s="54"/>
      <c r="B53" s="13"/>
      <c r="C53" s="9"/>
      <c r="D53" s="13"/>
      <c r="E53" s="20" t="str">
        <f t="shared" si="24"/>
        <v/>
      </c>
      <c r="F53" s="3" t="str">
        <f t="shared" si="25"/>
        <v/>
      </c>
      <c r="G53" s="22" t="str">
        <f t="shared" si="26"/>
        <v/>
      </c>
      <c r="I53" s="41" t="str">
        <f t="shared" si="27"/>
        <v/>
      </c>
      <c r="K53" s="45" t="str">
        <f t="shared" si="28"/>
        <v/>
      </c>
      <c r="M53" s="47" t="str">
        <f t="shared" si="29"/>
        <v/>
      </c>
      <c r="O53" s="50" t="str">
        <f t="shared" si="30"/>
        <v/>
      </c>
      <c r="Q53" s="26" t="str">
        <f t="shared" si="31"/>
        <v/>
      </c>
      <c r="R53" s="11" t="str">
        <f t="shared" si="18"/>
        <v/>
      </c>
      <c r="S53" s="11" t="str">
        <f t="shared" si="32"/>
        <v/>
      </c>
      <c r="T53" s="11" t="str">
        <f t="shared" si="19"/>
        <v/>
      </c>
      <c r="W53" s="31" t="str">
        <f t="shared" si="41"/>
        <v/>
      </c>
      <c r="X53" s="15" t="str">
        <f t="shared" si="42"/>
        <v/>
      </c>
      <c r="Y53" s="15" t="str">
        <f t="shared" si="43"/>
        <v/>
      </c>
      <c r="Z53" s="16" t="str">
        <f t="shared" si="44"/>
        <v/>
      </c>
      <c r="AA53" s="14" t="str">
        <f t="shared" si="33"/>
        <v/>
      </c>
      <c r="AB53" s="15" t="str">
        <f t="shared" si="34"/>
        <v/>
      </c>
      <c r="AC53" s="15" t="str">
        <f t="shared" si="35"/>
        <v/>
      </c>
      <c r="AD53" s="16" t="str">
        <f t="shared" si="36"/>
        <v/>
      </c>
      <c r="AE53" s="14" t="str">
        <f t="shared" si="37"/>
        <v/>
      </c>
      <c r="AF53" s="15" t="str">
        <f t="shared" si="38"/>
        <v/>
      </c>
      <c r="AG53" s="15" t="str">
        <f t="shared" si="39"/>
        <v/>
      </c>
      <c r="AH53" s="32" t="str">
        <f t="shared" si="40"/>
        <v/>
      </c>
    </row>
    <row r="54" spans="1:34" x14ac:dyDescent="0.25">
      <c r="A54" s="54"/>
      <c r="B54" s="13"/>
      <c r="C54" s="9"/>
      <c r="D54" s="13"/>
      <c r="E54" s="20" t="str">
        <f t="shared" si="24"/>
        <v/>
      </c>
      <c r="F54" s="3" t="str">
        <f t="shared" si="25"/>
        <v/>
      </c>
      <c r="G54" s="22" t="str">
        <f t="shared" si="26"/>
        <v/>
      </c>
      <c r="I54" s="41" t="str">
        <f t="shared" si="27"/>
        <v/>
      </c>
      <c r="K54" s="45" t="str">
        <f t="shared" si="28"/>
        <v/>
      </c>
      <c r="M54" s="47" t="str">
        <f t="shared" si="29"/>
        <v/>
      </c>
      <c r="O54" s="50" t="str">
        <f t="shared" si="30"/>
        <v/>
      </c>
      <c r="Q54" s="26" t="str">
        <f t="shared" si="31"/>
        <v/>
      </c>
      <c r="R54" s="11" t="str">
        <f t="shared" si="18"/>
        <v/>
      </c>
      <c r="S54" s="11" t="str">
        <f t="shared" si="32"/>
        <v/>
      </c>
      <c r="T54" s="11" t="str">
        <f t="shared" si="19"/>
        <v/>
      </c>
      <c r="W54" s="31" t="str">
        <f t="shared" si="41"/>
        <v/>
      </c>
      <c r="X54" s="15" t="str">
        <f t="shared" si="42"/>
        <v/>
      </c>
      <c r="Y54" s="15" t="str">
        <f t="shared" si="43"/>
        <v/>
      </c>
      <c r="Z54" s="16" t="str">
        <f t="shared" si="44"/>
        <v/>
      </c>
      <c r="AA54" s="14" t="str">
        <f t="shared" si="33"/>
        <v/>
      </c>
      <c r="AB54" s="15" t="str">
        <f t="shared" si="34"/>
        <v/>
      </c>
      <c r="AC54" s="15" t="str">
        <f t="shared" si="35"/>
        <v/>
      </c>
      <c r="AD54" s="16" t="str">
        <f t="shared" si="36"/>
        <v/>
      </c>
      <c r="AE54" s="14" t="str">
        <f t="shared" si="37"/>
        <v/>
      </c>
      <c r="AF54" s="15" t="str">
        <f t="shared" si="38"/>
        <v/>
      </c>
      <c r="AG54" s="15" t="str">
        <f t="shared" si="39"/>
        <v/>
      </c>
      <c r="AH54" s="32" t="str">
        <f t="shared" si="40"/>
        <v/>
      </c>
    </row>
    <row r="55" spans="1:34" x14ac:dyDescent="0.25">
      <c r="A55" s="54"/>
      <c r="B55" s="13"/>
      <c r="C55" s="9"/>
      <c r="D55" s="13"/>
      <c r="E55" s="20" t="str">
        <f t="shared" si="24"/>
        <v/>
      </c>
      <c r="F55" s="3" t="str">
        <f t="shared" si="25"/>
        <v/>
      </c>
      <c r="G55" s="22" t="str">
        <f t="shared" si="26"/>
        <v/>
      </c>
      <c r="I55" s="41" t="str">
        <f t="shared" si="27"/>
        <v/>
      </c>
      <c r="K55" s="45" t="str">
        <f t="shared" si="28"/>
        <v/>
      </c>
      <c r="M55" s="47" t="str">
        <f t="shared" si="29"/>
        <v/>
      </c>
      <c r="O55" s="50" t="str">
        <f t="shared" si="30"/>
        <v/>
      </c>
      <c r="Q55" s="26" t="str">
        <f t="shared" si="31"/>
        <v/>
      </c>
      <c r="R55" s="11" t="str">
        <f t="shared" si="18"/>
        <v/>
      </c>
      <c r="S55" s="11" t="str">
        <f t="shared" si="32"/>
        <v/>
      </c>
      <c r="T55" s="11" t="str">
        <f t="shared" si="19"/>
        <v/>
      </c>
      <c r="W55" s="31" t="str">
        <f t="shared" si="41"/>
        <v/>
      </c>
      <c r="X55" s="15" t="str">
        <f t="shared" si="42"/>
        <v/>
      </c>
      <c r="Y55" s="15" t="str">
        <f t="shared" si="43"/>
        <v/>
      </c>
      <c r="Z55" s="16" t="str">
        <f t="shared" si="44"/>
        <v/>
      </c>
      <c r="AA55" s="14" t="str">
        <f t="shared" si="33"/>
        <v/>
      </c>
      <c r="AB55" s="15" t="str">
        <f t="shared" si="34"/>
        <v/>
      </c>
      <c r="AC55" s="15" t="str">
        <f t="shared" si="35"/>
        <v/>
      </c>
      <c r="AD55" s="16" t="str">
        <f t="shared" si="36"/>
        <v/>
      </c>
      <c r="AE55" s="14" t="str">
        <f t="shared" si="37"/>
        <v/>
      </c>
      <c r="AF55" s="15" t="str">
        <f t="shared" si="38"/>
        <v/>
      </c>
      <c r="AG55" s="15" t="str">
        <f t="shared" si="39"/>
        <v/>
      </c>
      <c r="AH55" s="32" t="str">
        <f t="shared" si="40"/>
        <v/>
      </c>
    </row>
    <row r="56" spans="1:34" x14ac:dyDescent="0.25">
      <c r="A56" s="54"/>
      <c r="B56" s="13"/>
      <c r="C56" s="9"/>
      <c r="D56" s="13"/>
      <c r="E56" s="20" t="str">
        <f t="shared" si="24"/>
        <v/>
      </c>
      <c r="F56" s="3" t="str">
        <f t="shared" si="25"/>
        <v/>
      </c>
      <c r="G56" s="22" t="str">
        <f t="shared" si="26"/>
        <v/>
      </c>
      <c r="I56" s="41" t="str">
        <f t="shared" si="27"/>
        <v/>
      </c>
      <c r="K56" s="45" t="str">
        <f t="shared" si="28"/>
        <v/>
      </c>
      <c r="M56" s="47" t="str">
        <f t="shared" si="29"/>
        <v/>
      </c>
      <c r="O56" s="50" t="str">
        <f t="shared" si="30"/>
        <v/>
      </c>
      <c r="Q56" s="26" t="str">
        <f t="shared" si="31"/>
        <v/>
      </c>
      <c r="R56" s="11" t="str">
        <f t="shared" si="18"/>
        <v/>
      </c>
      <c r="S56" s="11" t="str">
        <f t="shared" si="32"/>
        <v/>
      </c>
      <c r="T56" s="11" t="str">
        <f t="shared" si="19"/>
        <v/>
      </c>
      <c r="W56" s="31" t="str">
        <f t="shared" si="41"/>
        <v/>
      </c>
      <c r="X56" s="15" t="str">
        <f t="shared" si="42"/>
        <v/>
      </c>
      <c r="Y56" s="15" t="str">
        <f t="shared" si="43"/>
        <v/>
      </c>
      <c r="Z56" s="16" t="str">
        <f t="shared" si="44"/>
        <v/>
      </c>
      <c r="AA56" s="14" t="str">
        <f t="shared" si="33"/>
        <v/>
      </c>
      <c r="AB56" s="15" t="str">
        <f t="shared" si="34"/>
        <v/>
      </c>
      <c r="AC56" s="15" t="str">
        <f t="shared" si="35"/>
        <v/>
      </c>
      <c r="AD56" s="16" t="str">
        <f t="shared" si="36"/>
        <v/>
      </c>
      <c r="AE56" s="14" t="str">
        <f t="shared" si="37"/>
        <v/>
      </c>
      <c r="AF56" s="15" t="str">
        <f t="shared" si="38"/>
        <v/>
      </c>
      <c r="AG56" s="15" t="str">
        <f t="shared" si="39"/>
        <v/>
      </c>
      <c r="AH56" s="32" t="str">
        <f t="shared" si="40"/>
        <v/>
      </c>
    </row>
    <row r="57" spans="1:34" x14ac:dyDescent="0.25">
      <c r="A57" s="54"/>
      <c r="B57" s="13"/>
      <c r="C57" s="9"/>
      <c r="D57" s="13"/>
      <c r="E57" s="20" t="str">
        <f t="shared" si="24"/>
        <v/>
      </c>
      <c r="F57" s="3" t="str">
        <f t="shared" si="25"/>
        <v/>
      </c>
      <c r="G57" s="22" t="str">
        <f t="shared" si="26"/>
        <v/>
      </c>
      <c r="I57" s="41" t="str">
        <f t="shared" si="27"/>
        <v/>
      </c>
      <c r="K57" s="45" t="str">
        <f t="shared" si="28"/>
        <v/>
      </c>
      <c r="M57" s="47" t="str">
        <f t="shared" si="29"/>
        <v/>
      </c>
      <c r="O57" s="50" t="str">
        <f t="shared" si="30"/>
        <v/>
      </c>
      <c r="Q57" s="26" t="str">
        <f t="shared" si="31"/>
        <v/>
      </c>
      <c r="R57" s="11" t="str">
        <f t="shared" si="18"/>
        <v/>
      </c>
      <c r="S57" s="11" t="str">
        <f t="shared" si="32"/>
        <v/>
      </c>
      <c r="T57" s="11" t="str">
        <f t="shared" si="19"/>
        <v/>
      </c>
      <c r="W57" s="31" t="str">
        <f t="shared" si="41"/>
        <v/>
      </c>
      <c r="X57" s="15" t="str">
        <f t="shared" si="42"/>
        <v/>
      </c>
      <c r="Y57" s="15" t="str">
        <f t="shared" si="43"/>
        <v/>
      </c>
      <c r="Z57" s="16" t="str">
        <f t="shared" si="44"/>
        <v/>
      </c>
      <c r="AA57" s="14" t="str">
        <f t="shared" si="33"/>
        <v/>
      </c>
      <c r="AB57" s="15" t="str">
        <f t="shared" si="34"/>
        <v/>
      </c>
      <c r="AC57" s="15" t="str">
        <f t="shared" si="35"/>
        <v/>
      </c>
      <c r="AD57" s="16" t="str">
        <f t="shared" si="36"/>
        <v/>
      </c>
      <c r="AE57" s="14" t="str">
        <f t="shared" si="37"/>
        <v/>
      </c>
      <c r="AF57" s="15" t="str">
        <f t="shared" si="38"/>
        <v/>
      </c>
      <c r="AG57" s="15" t="str">
        <f t="shared" si="39"/>
        <v/>
      </c>
      <c r="AH57" s="32" t="str">
        <f t="shared" si="40"/>
        <v/>
      </c>
    </row>
    <row r="58" spans="1:34" x14ac:dyDescent="0.25">
      <c r="A58" s="54"/>
      <c r="B58" s="13"/>
      <c r="C58" s="9"/>
      <c r="D58" s="13"/>
      <c r="E58" s="20" t="str">
        <f t="shared" si="24"/>
        <v/>
      </c>
      <c r="F58" s="3" t="str">
        <f t="shared" si="25"/>
        <v/>
      </c>
      <c r="G58" s="22" t="str">
        <f t="shared" si="26"/>
        <v/>
      </c>
      <c r="I58" s="41" t="str">
        <f t="shared" si="27"/>
        <v/>
      </c>
      <c r="K58" s="45" t="str">
        <f t="shared" si="28"/>
        <v/>
      </c>
      <c r="M58" s="47" t="str">
        <f t="shared" si="29"/>
        <v/>
      </c>
      <c r="O58" s="50" t="str">
        <f t="shared" si="30"/>
        <v/>
      </c>
      <c r="Q58" s="26" t="str">
        <f t="shared" si="31"/>
        <v/>
      </c>
      <c r="R58" s="11" t="str">
        <f t="shared" si="18"/>
        <v/>
      </c>
      <c r="S58" s="11" t="str">
        <f t="shared" si="32"/>
        <v/>
      </c>
      <c r="T58" s="11" t="str">
        <f t="shared" si="19"/>
        <v/>
      </c>
      <c r="W58" s="31" t="str">
        <f t="shared" si="41"/>
        <v/>
      </c>
      <c r="X58" s="15" t="str">
        <f t="shared" si="42"/>
        <v/>
      </c>
      <c r="Y58" s="15" t="str">
        <f t="shared" si="43"/>
        <v/>
      </c>
      <c r="Z58" s="16" t="str">
        <f t="shared" si="44"/>
        <v/>
      </c>
      <c r="AA58" s="14" t="str">
        <f t="shared" si="33"/>
        <v/>
      </c>
      <c r="AB58" s="15" t="str">
        <f t="shared" si="34"/>
        <v/>
      </c>
      <c r="AC58" s="15" t="str">
        <f t="shared" si="35"/>
        <v/>
      </c>
      <c r="AD58" s="16" t="str">
        <f t="shared" si="36"/>
        <v/>
      </c>
      <c r="AE58" s="14" t="str">
        <f t="shared" si="37"/>
        <v/>
      </c>
      <c r="AF58" s="15" t="str">
        <f t="shared" si="38"/>
        <v/>
      </c>
      <c r="AG58" s="15" t="str">
        <f t="shared" si="39"/>
        <v/>
      </c>
      <c r="AH58" s="32" t="str">
        <f t="shared" si="40"/>
        <v/>
      </c>
    </row>
    <row r="59" spans="1:34" x14ac:dyDescent="0.25">
      <c r="A59" s="54"/>
      <c r="B59" s="13"/>
      <c r="C59" s="9"/>
      <c r="D59" s="13"/>
      <c r="E59" s="20" t="str">
        <f t="shared" si="24"/>
        <v/>
      </c>
      <c r="F59" s="3" t="str">
        <f t="shared" si="25"/>
        <v/>
      </c>
      <c r="G59" s="22" t="str">
        <f t="shared" si="26"/>
        <v/>
      </c>
      <c r="I59" s="41" t="str">
        <f t="shared" si="27"/>
        <v/>
      </c>
      <c r="K59" s="45" t="str">
        <f t="shared" si="28"/>
        <v/>
      </c>
      <c r="M59" s="47" t="str">
        <f t="shared" si="29"/>
        <v/>
      </c>
      <c r="O59" s="50" t="str">
        <f t="shared" si="30"/>
        <v/>
      </c>
      <c r="Q59" s="26" t="str">
        <f t="shared" si="31"/>
        <v/>
      </c>
      <c r="R59" s="11" t="str">
        <f t="shared" si="18"/>
        <v/>
      </c>
      <c r="S59" s="11" t="str">
        <f t="shared" si="32"/>
        <v/>
      </c>
      <c r="T59" s="11" t="str">
        <f t="shared" si="19"/>
        <v/>
      </c>
      <c r="W59" s="31" t="str">
        <f t="shared" si="41"/>
        <v/>
      </c>
      <c r="X59" s="15" t="str">
        <f t="shared" si="42"/>
        <v/>
      </c>
      <c r="Y59" s="15" t="str">
        <f t="shared" si="43"/>
        <v/>
      </c>
      <c r="Z59" s="16" t="str">
        <f t="shared" si="44"/>
        <v/>
      </c>
      <c r="AA59" s="14" t="str">
        <f t="shared" si="33"/>
        <v/>
      </c>
      <c r="AB59" s="15" t="str">
        <f t="shared" si="34"/>
        <v/>
      </c>
      <c r="AC59" s="15" t="str">
        <f t="shared" si="35"/>
        <v/>
      </c>
      <c r="AD59" s="16" t="str">
        <f t="shared" si="36"/>
        <v/>
      </c>
      <c r="AE59" s="14" t="str">
        <f t="shared" si="37"/>
        <v/>
      </c>
      <c r="AF59" s="15" t="str">
        <f t="shared" si="38"/>
        <v/>
      </c>
      <c r="AG59" s="15" t="str">
        <f t="shared" si="39"/>
        <v/>
      </c>
      <c r="AH59" s="32" t="str">
        <f t="shared" si="40"/>
        <v/>
      </c>
    </row>
    <row r="60" spans="1:34" x14ac:dyDescent="0.25">
      <c r="A60" s="54"/>
      <c r="B60" s="13"/>
      <c r="C60" s="9"/>
      <c r="D60" s="13"/>
      <c r="E60" s="20" t="str">
        <f t="shared" si="24"/>
        <v/>
      </c>
      <c r="F60" s="3" t="str">
        <f t="shared" si="25"/>
        <v/>
      </c>
      <c r="G60" s="22" t="str">
        <f t="shared" si="26"/>
        <v/>
      </c>
      <c r="I60" s="41" t="str">
        <f t="shared" si="27"/>
        <v/>
      </c>
      <c r="K60" s="45" t="str">
        <f t="shared" si="28"/>
        <v/>
      </c>
      <c r="M60" s="47" t="str">
        <f t="shared" si="29"/>
        <v/>
      </c>
      <c r="O60" s="50" t="str">
        <f t="shared" si="30"/>
        <v/>
      </c>
      <c r="Q60" s="26" t="str">
        <f t="shared" si="31"/>
        <v/>
      </c>
      <c r="R60" s="11" t="str">
        <f t="shared" si="18"/>
        <v/>
      </c>
      <c r="S60" s="11" t="str">
        <f t="shared" si="32"/>
        <v/>
      </c>
      <c r="T60" s="11" t="str">
        <f t="shared" si="19"/>
        <v/>
      </c>
      <c r="W60" s="31" t="str">
        <f t="shared" si="41"/>
        <v/>
      </c>
      <c r="X60" s="15" t="str">
        <f t="shared" si="42"/>
        <v/>
      </c>
      <c r="Y60" s="15" t="str">
        <f t="shared" si="43"/>
        <v/>
      </c>
      <c r="Z60" s="16" t="str">
        <f t="shared" si="44"/>
        <v/>
      </c>
      <c r="AA60" s="14" t="str">
        <f t="shared" si="33"/>
        <v/>
      </c>
      <c r="AB60" s="15" t="str">
        <f t="shared" si="34"/>
        <v/>
      </c>
      <c r="AC60" s="15" t="str">
        <f t="shared" si="35"/>
        <v/>
      </c>
      <c r="AD60" s="16" t="str">
        <f t="shared" si="36"/>
        <v/>
      </c>
      <c r="AE60" s="14" t="str">
        <f t="shared" si="37"/>
        <v/>
      </c>
      <c r="AF60" s="15" t="str">
        <f t="shared" si="38"/>
        <v/>
      </c>
      <c r="AG60" s="15" t="str">
        <f t="shared" si="39"/>
        <v/>
      </c>
      <c r="AH60" s="32" t="str">
        <f t="shared" si="40"/>
        <v/>
      </c>
    </row>
    <row r="61" spans="1:34" x14ac:dyDescent="0.25">
      <c r="A61" s="54"/>
      <c r="B61" s="13"/>
      <c r="C61" s="9"/>
      <c r="D61" s="13"/>
      <c r="E61" s="20" t="str">
        <f t="shared" si="24"/>
        <v/>
      </c>
      <c r="F61" s="3" t="str">
        <f t="shared" si="25"/>
        <v/>
      </c>
      <c r="G61" s="22" t="str">
        <f t="shared" si="26"/>
        <v/>
      </c>
      <c r="I61" s="41" t="str">
        <f t="shared" si="27"/>
        <v/>
      </c>
      <c r="K61" s="45" t="str">
        <f t="shared" si="28"/>
        <v/>
      </c>
      <c r="M61" s="47" t="str">
        <f t="shared" si="29"/>
        <v/>
      </c>
      <c r="O61" s="50" t="str">
        <f t="shared" si="30"/>
        <v/>
      </c>
      <c r="Q61" s="26" t="str">
        <f t="shared" si="31"/>
        <v/>
      </c>
      <c r="R61" s="11" t="str">
        <f t="shared" si="18"/>
        <v/>
      </c>
      <c r="S61" s="11" t="str">
        <f t="shared" si="32"/>
        <v/>
      </c>
      <c r="T61" s="11" t="str">
        <f t="shared" si="19"/>
        <v/>
      </c>
      <c r="W61" s="31" t="str">
        <f t="shared" si="41"/>
        <v/>
      </c>
      <c r="X61" s="15" t="str">
        <f t="shared" si="42"/>
        <v/>
      </c>
      <c r="Y61" s="15" t="str">
        <f t="shared" si="43"/>
        <v/>
      </c>
      <c r="Z61" s="16" t="str">
        <f t="shared" si="44"/>
        <v/>
      </c>
      <c r="AA61" s="14" t="str">
        <f t="shared" si="33"/>
        <v/>
      </c>
      <c r="AB61" s="15" t="str">
        <f t="shared" si="34"/>
        <v/>
      </c>
      <c r="AC61" s="15" t="str">
        <f t="shared" si="35"/>
        <v/>
      </c>
      <c r="AD61" s="16" t="str">
        <f t="shared" si="36"/>
        <v/>
      </c>
      <c r="AE61" s="14" t="str">
        <f t="shared" si="37"/>
        <v/>
      </c>
      <c r="AF61" s="15" t="str">
        <f t="shared" si="38"/>
        <v/>
      </c>
      <c r="AG61" s="15" t="str">
        <f t="shared" si="39"/>
        <v/>
      </c>
      <c r="AH61" s="32" t="str">
        <f t="shared" si="40"/>
        <v/>
      </c>
    </row>
    <row r="62" spans="1:34" x14ac:dyDescent="0.25">
      <c r="A62" s="54"/>
      <c r="B62" s="13"/>
      <c r="C62" s="9"/>
      <c r="D62" s="13"/>
      <c r="E62" s="20" t="str">
        <f t="shared" si="24"/>
        <v/>
      </c>
      <c r="F62" s="3" t="str">
        <f t="shared" si="25"/>
        <v/>
      </c>
      <c r="G62" s="22" t="str">
        <f t="shared" si="26"/>
        <v/>
      </c>
      <c r="I62" s="41" t="str">
        <f t="shared" si="27"/>
        <v/>
      </c>
      <c r="K62" s="45" t="str">
        <f t="shared" si="28"/>
        <v/>
      </c>
      <c r="M62" s="47" t="str">
        <f t="shared" si="29"/>
        <v/>
      </c>
      <c r="O62" s="50" t="str">
        <f t="shared" si="30"/>
        <v/>
      </c>
      <c r="Q62" s="26" t="str">
        <f t="shared" si="31"/>
        <v/>
      </c>
      <c r="R62" s="11" t="str">
        <f t="shared" si="18"/>
        <v/>
      </c>
      <c r="S62" s="11" t="str">
        <f t="shared" si="32"/>
        <v/>
      </c>
      <c r="T62" s="11" t="str">
        <f t="shared" si="19"/>
        <v/>
      </c>
      <c r="W62" s="31" t="str">
        <f t="shared" si="41"/>
        <v/>
      </c>
      <c r="X62" s="15" t="str">
        <f t="shared" si="42"/>
        <v/>
      </c>
      <c r="Y62" s="15" t="str">
        <f t="shared" si="43"/>
        <v/>
      </c>
      <c r="Z62" s="16" t="str">
        <f t="shared" si="44"/>
        <v/>
      </c>
      <c r="AA62" s="14" t="str">
        <f t="shared" si="33"/>
        <v/>
      </c>
      <c r="AB62" s="15" t="str">
        <f t="shared" si="34"/>
        <v/>
      </c>
      <c r="AC62" s="15" t="str">
        <f t="shared" si="35"/>
        <v/>
      </c>
      <c r="AD62" s="16" t="str">
        <f t="shared" si="36"/>
        <v/>
      </c>
      <c r="AE62" s="14" t="str">
        <f t="shared" si="37"/>
        <v/>
      </c>
      <c r="AF62" s="15" t="str">
        <f t="shared" si="38"/>
        <v/>
      </c>
      <c r="AG62" s="15" t="str">
        <f t="shared" si="39"/>
        <v/>
      </c>
      <c r="AH62" s="32" t="str">
        <f t="shared" si="40"/>
        <v/>
      </c>
    </row>
    <row r="63" spans="1:34" x14ac:dyDescent="0.25">
      <c r="A63" s="54"/>
      <c r="B63" s="13"/>
      <c r="C63" s="9"/>
      <c r="D63" s="13"/>
      <c r="E63" s="20" t="str">
        <f t="shared" si="24"/>
        <v/>
      </c>
      <c r="F63" s="3" t="str">
        <f t="shared" si="25"/>
        <v/>
      </c>
      <c r="G63" s="22" t="str">
        <f t="shared" si="26"/>
        <v/>
      </c>
      <c r="I63" s="41" t="str">
        <f t="shared" si="27"/>
        <v/>
      </c>
      <c r="K63" s="45" t="str">
        <f t="shared" si="28"/>
        <v/>
      </c>
      <c r="M63" s="47" t="str">
        <f t="shared" si="29"/>
        <v/>
      </c>
      <c r="O63" s="50" t="str">
        <f t="shared" si="30"/>
        <v/>
      </c>
      <c r="Q63" s="26" t="str">
        <f t="shared" si="31"/>
        <v/>
      </c>
      <c r="R63" s="11" t="str">
        <f t="shared" si="18"/>
        <v/>
      </c>
      <c r="S63" s="11" t="str">
        <f t="shared" si="32"/>
        <v/>
      </c>
      <c r="T63" s="11" t="str">
        <f t="shared" si="19"/>
        <v/>
      </c>
      <c r="W63" s="31" t="str">
        <f t="shared" si="41"/>
        <v/>
      </c>
      <c r="X63" s="15" t="str">
        <f t="shared" si="42"/>
        <v/>
      </c>
      <c r="Y63" s="15" t="str">
        <f t="shared" si="43"/>
        <v/>
      </c>
      <c r="Z63" s="16" t="str">
        <f t="shared" si="44"/>
        <v/>
      </c>
      <c r="AA63" s="14" t="str">
        <f t="shared" si="33"/>
        <v/>
      </c>
      <c r="AB63" s="15" t="str">
        <f t="shared" si="34"/>
        <v/>
      </c>
      <c r="AC63" s="15" t="str">
        <f t="shared" si="35"/>
        <v/>
      </c>
      <c r="AD63" s="16" t="str">
        <f t="shared" si="36"/>
        <v/>
      </c>
      <c r="AE63" s="14" t="str">
        <f t="shared" si="37"/>
        <v/>
      </c>
      <c r="AF63" s="15" t="str">
        <f t="shared" si="38"/>
        <v/>
      </c>
      <c r="AG63" s="15" t="str">
        <f t="shared" si="39"/>
        <v/>
      </c>
      <c r="AH63" s="32" t="str">
        <f t="shared" si="40"/>
        <v/>
      </c>
    </row>
    <row r="64" spans="1:34" x14ac:dyDescent="0.25">
      <c r="A64" s="54"/>
      <c r="B64" s="13"/>
      <c r="C64" s="9"/>
      <c r="D64" s="13"/>
      <c r="E64" s="20" t="str">
        <f t="shared" si="24"/>
        <v/>
      </c>
      <c r="F64" s="3" t="str">
        <f t="shared" si="25"/>
        <v/>
      </c>
      <c r="G64" s="22" t="str">
        <f t="shared" si="26"/>
        <v/>
      </c>
      <c r="I64" s="41" t="str">
        <f t="shared" si="27"/>
        <v/>
      </c>
      <c r="K64" s="45" t="str">
        <f t="shared" si="28"/>
        <v/>
      </c>
      <c r="M64" s="47" t="str">
        <f t="shared" si="29"/>
        <v/>
      </c>
      <c r="O64" s="50" t="str">
        <f t="shared" si="30"/>
        <v/>
      </c>
      <c r="Q64" s="26" t="str">
        <f t="shared" si="31"/>
        <v/>
      </c>
      <c r="R64" s="11" t="str">
        <f t="shared" si="18"/>
        <v/>
      </c>
      <c r="S64" s="11" t="str">
        <f t="shared" si="32"/>
        <v/>
      </c>
      <c r="T64" s="11" t="str">
        <f t="shared" si="19"/>
        <v/>
      </c>
      <c r="W64" s="31" t="str">
        <f t="shared" si="41"/>
        <v/>
      </c>
      <c r="X64" s="15" t="str">
        <f t="shared" si="42"/>
        <v/>
      </c>
      <c r="Y64" s="15" t="str">
        <f t="shared" si="43"/>
        <v/>
      </c>
      <c r="Z64" s="16" t="str">
        <f t="shared" si="44"/>
        <v/>
      </c>
      <c r="AA64" s="14" t="str">
        <f t="shared" si="33"/>
        <v/>
      </c>
      <c r="AB64" s="15" t="str">
        <f t="shared" si="34"/>
        <v/>
      </c>
      <c r="AC64" s="15" t="str">
        <f t="shared" si="35"/>
        <v/>
      </c>
      <c r="AD64" s="16" t="str">
        <f t="shared" si="36"/>
        <v/>
      </c>
      <c r="AE64" s="14" t="str">
        <f t="shared" si="37"/>
        <v/>
      </c>
      <c r="AF64" s="15" t="str">
        <f t="shared" si="38"/>
        <v/>
      </c>
      <c r="AG64" s="15" t="str">
        <f t="shared" si="39"/>
        <v/>
      </c>
      <c r="AH64" s="32" t="str">
        <f t="shared" si="40"/>
        <v/>
      </c>
    </row>
    <row r="65" spans="1:34" x14ac:dyDescent="0.25">
      <c r="A65" s="54"/>
      <c r="B65" s="13"/>
      <c r="C65" s="9"/>
      <c r="D65" s="13"/>
      <c r="E65" s="20" t="str">
        <f t="shared" si="24"/>
        <v/>
      </c>
      <c r="F65" s="3" t="str">
        <f t="shared" si="25"/>
        <v/>
      </c>
      <c r="G65" s="22" t="str">
        <f t="shared" si="26"/>
        <v/>
      </c>
      <c r="I65" s="41" t="str">
        <f t="shared" si="27"/>
        <v/>
      </c>
      <c r="K65" s="45" t="str">
        <f t="shared" si="28"/>
        <v/>
      </c>
      <c r="M65" s="47" t="str">
        <f t="shared" si="29"/>
        <v/>
      </c>
      <c r="O65" s="50" t="str">
        <f t="shared" si="30"/>
        <v/>
      </c>
      <c r="Q65" s="26" t="str">
        <f t="shared" si="31"/>
        <v/>
      </c>
      <c r="R65" s="11" t="str">
        <f t="shared" si="18"/>
        <v/>
      </c>
      <c r="S65" s="11" t="str">
        <f t="shared" si="32"/>
        <v/>
      </c>
      <c r="T65" s="11" t="str">
        <f t="shared" si="19"/>
        <v/>
      </c>
      <c r="W65" s="31" t="str">
        <f t="shared" si="41"/>
        <v/>
      </c>
      <c r="X65" s="15" t="str">
        <f t="shared" si="42"/>
        <v/>
      </c>
      <c r="Y65" s="15" t="str">
        <f t="shared" si="43"/>
        <v/>
      </c>
      <c r="Z65" s="16" t="str">
        <f t="shared" si="44"/>
        <v/>
      </c>
      <c r="AA65" s="14" t="str">
        <f t="shared" si="33"/>
        <v/>
      </c>
      <c r="AB65" s="15" t="str">
        <f t="shared" si="34"/>
        <v/>
      </c>
      <c r="AC65" s="15" t="str">
        <f t="shared" si="35"/>
        <v/>
      </c>
      <c r="AD65" s="16" t="str">
        <f t="shared" si="36"/>
        <v/>
      </c>
      <c r="AE65" s="14" t="str">
        <f t="shared" si="37"/>
        <v/>
      </c>
      <c r="AF65" s="15" t="str">
        <f t="shared" si="38"/>
        <v/>
      </c>
      <c r="AG65" s="15" t="str">
        <f t="shared" si="39"/>
        <v/>
      </c>
      <c r="AH65" s="32" t="str">
        <f t="shared" si="40"/>
        <v/>
      </c>
    </row>
    <row r="66" spans="1:34" x14ac:dyDescent="0.25">
      <c r="A66" s="54"/>
      <c r="B66" s="13"/>
      <c r="C66" s="9"/>
      <c r="D66" s="13"/>
      <c r="E66" s="20" t="str">
        <f t="shared" si="24"/>
        <v/>
      </c>
      <c r="F66" s="3" t="str">
        <f t="shared" si="25"/>
        <v/>
      </c>
      <c r="G66" s="22" t="str">
        <f t="shared" si="26"/>
        <v/>
      </c>
      <c r="I66" s="41" t="str">
        <f t="shared" si="27"/>
        <v/>
      </c>
      <c r="K66" s="45" t="str">
        <f t="shared" si="28"/>
        <v/>
      </c>
      <c r="M66" s="47" t="str">
        <f t="shared" si="29"/>
        <v/>
      </c>
      <c r="O66" s="50" t="str">
        <f t="shared" si="30"/>
        <v/>
      </c>
      <c r="Q66" s="26" t="str">
        <f t="shared" si="31"/>
        <v/>
      </c>
      <c r="R66" s="11" t="str">
        <f t="shared" si="18"/>
        <v/>
      </c>
      <c r="S66" s="11" t="str">
        <f t="shared" si="32"/>
        <v/>
      </c>
      <c r="T66" s="11" t="str">
        <f t="shared" si="19"/>
        <v/>
      </c>
      <c r="W66" s="31" t="str">
        <f t="shared" si="41"/>
        <v/>
      </c>
      <c r="X66" s="15" t="str">
        <f t="shared" si="42"/>
        <v/>
      </c>
      <c r="Y66" s="15" t="str">
        <f t="shared" si="43"/>
        <v/>
      </c>
      <c r="Z66" s="16" t="str">
        <f t="shared" si="44"/>
        <v/>
      </c>
      <c r="AA66" s="14" t="str">
        <f t="shared" si="33"/>
        <v/>
      </c>
      <c r="AB66" s="15" t="str">
        <f t="shared" si="34"/>
        <v/>
      </c>
      <c r="AC66" s="15" t="str">
        <f t="shared" si="35"/>
        <v/>
      </c>
      <c r="AD66" s="16" t="str">
        <f t="shared" si="36"/>
        <v/>
      </c>
      <c r="AE66" s="14" t="str">
        <f t="shared" si="37"/>
        <v/>
      </c>
      <c r="AF66" s="15" t="str">
        <f t="shared" si="38"/>
        <v/>
      </c>
      <c r="AG66" s="15" t="str">
        <f t="shared" si="39"/>
        <v/>
      </c>
      <c r="AH66" s="32" t="str">
        <f t="shared" si="40"/>
        <v/>
      </c>
    </row>
    <row r="67" spans="1:34" x14ac:dyDescent="0.25">
      <c r="A67" s="54"/>
      <c r="B67" s="13"/>
      <c r="C67" s="9"/>
      <c r="D67" s="13"/>
      <c r="E67" s="20" t="str">
        <f t="shared" si="24"/>
        <v/>
      </c>
      <c r="F67" s="3" t="str">
        <f t="shared" si="25"/>
        <v/>
      </c>
      <c r="G67" s="22" t="str">
        <f t="shared" si="26"/>
        <v/>
      </c>
      <c r="I67" s="41" t="str">
        <f t="shared" si="27"/>
        <v/>
      </c>
      <c r="K67" s="45" t="str">
        <f t="shared" si="28"/>
        <v/>
      </c>
      <c r="M67" s="47" t="str">
        <f t="shared" si="29"/>
        <v/>
      </c>
      <c r="O67" s="50" t="str">
        <f t="shared" si="30"/>
        <v/>
      </c>
      <c r="Q67" s="26" t="str">
        <f t="shared" si="31"/>
        <v/>
      </c>
      <c r="R67" s="11" t="str">
        <f t="shared" si="18"/>
        <v/>
      </c>
      <c r="S67" s="11" t="str">
        <f t="shared" si="32"/>
        <v/>
      </c>
      <c r="T67" s="11" t="str">
        <f t="shared" si="19"/>
        <v/>
      </c>
      <c r="W67" s="31" t="str">
        <f t="shared" si="41"/>
        <v/>
      </c>
      <c r="X67" s="15" t="str">
        <f t="shared" si="42"/>
        <v/>
      </c>
      <c r="Y67" s="15" t="str">
        <f t="shared" si="43"/>
        <v/>
      </c>
      <c r="Z67" s="16" t="str">
        <f t="shared" si="44"/>
        <v/>
      </c>
      <c r="AA67" s="14" t="str">
        <f t="shared" si="33"/>
        <v/>
      </c>
      <c r="AB67" s="15" t="str">
        <f t="shared" si="34"/>
        <v/>
      </c>
      <c r="AC67" s="15" t="str">
        <f t="shared" si="35"/>
        <v/>
      </c>
      <c r="AD67" s="16" t="str">
        <f t="shared" si="36"/>
        <v/>
      </c>
      <c r="AE67" s="14" t="str">
        <f t="shared" si="37"/>
        <v/>
      </c>
      <c r="AF67" s="15" t="str">
        <f t="shared" si="38"/>
        <v/>
      </c>
      <c r="AG67" s="15" t="str">
        <f t="shared" si="39"/>
        <v/>
      </c>
      <c r="AH67" s="32" t="str">
        <f t="shared" si="40"/>
        <v/>
      </c>
    </row>
    <row r="68" spans="1:34" x14ac:dyDescent="0.25">
      <c r="A68" s="54"/>
      <c r="B68" s="13"/>
      <c r="C68" s="9"/>
      <c r="D68" s="13"/>
      <c r="E68" s="20" t="str">
        <f t="shared" si="24"/>
        <v/>
      </c>
      <c r="F68" s="3" t="str">
        <f t="shared" si="25"/>
        <v/>
      </c>
      <c r="G68" s="22" t="str">
        <f t="shared" si="26"/>
        <v/>
      </c>
      <c r="I68" s="41" t="str">
        <f t="shared" si="27"/>
        <v/>
      </c>
      <c r="K68" s="45" t="str">
        <f t="shared" si="28"/>
        <v/>
      </c>
      <c r="M68" s="47" t="str">
        <f t="shared" si="29"/>
        <v/>
      </c>
      <c r="O68" s="50" t="str">
        <f t="shared" si="30"/>
        <v/>
      </c>
      <c r="Q68" s="26" t="str">
        <f t="shared" si="31"/>
        <v/>
      </c>
      <c r="R68" s="11" t="str">
        <f t="shared" si="18"/>
        <v/>
      </c>
      <c r="S68" s="11" t="str">
        <f t="shared" si="32"/>
        <v/>
      </c>
      <c r="T68" s="11" t="str">
        <f t="shared" si="19"/>
        <v/>
      </c>
      <c r="W68" s="31" t="str">
        <f t="shared" si="41"/>
        <v/>
      </c>
      <c r="X68" s="15" t="str">
        <f t="shared" si="42"/>
        <v/>
      </c>
      <c r="Y68" s="15" t="str">
        <f t="shared" si="43"/>
        <v/>
      </c>
      <c r="Z68" s="16" t="str">
        <f t="shared" si="44"/>
        <v/>
      </c>
      <c r="AA68" s="14" t="str">
        <f t="shared" si="33"/>
        <v/>
      </c>
      <c r="AB68" s="15" t="str">
        <f t="shared" si="34"/>
        <v/>
      </c>
      <c r="AC68" s="15" t="str">
        <f t="shared" si="35"/>
        <v/>
      </c>
      <c r="AD68" s="16" t="str">
        <f t="shared" si="36"/>
        <v/>
      </c>
      <c r="AE68" s="14" t="str">
        <f t="shared" si="37"/>
        <v/>
      </c>
      <c r="AF68" s="15" t="str">
        <f t="shared" si="38"/>
        <v/>
      </c>
      <c r="AG68" s="15" t="str">
        <f t="shared" si="39"/>
        <v/>
      </c>
      <c r="AH68" s="32" t="str">
        <f t="shared" si="40"/>
        <v/>
      </c>
    </row>
    <row r="69" spans="1:34" x14ac:dyDescent="0.25">
      <c r="A69" s="54"/>
      <c r="B69" s="13"/>
      <c r="C69" s="9"/>
      <c r="D69" s="13"/>
      <c r="E69" s="20" t="str">
        <f t="shared" ref="E69:E100" si="45">IF(OR($T69="",$D69=""),"",IF($D69&gt;$B69,"INVALID Value! Max: " &amp; $B69,$AE69 &amp; "." &amp; $AF69 &amp; "." &amp;$AG69&amp;"."&amp;$AH69))</f>
        <v/>
      </c>
      <c r="F69" s="3" t="str">
        <f t="shared" ref="F69:F100" si="46">IF(T69="","",IF(OR(_xlfn.DECIMAL($W69,10)&gt;255,OR(_xlfn.DECIMAL($X69,10)&gt;255,OR(_xlfn.DECIMAL($Y69,10)&gt;255,_xlfn.DECIMAL($Z69,10)&gt;255))),"INVALID NETWORK!",""))</f>
        <v/>
      </c>
      <c r="G69" s="22" t="str">
        <f t="shared" ref="G69:G100" si="47">IF($T69="","",$W69 &amp; "." &amp; $X69 &amp; "." &amp;$Y69&amp;"."&amp;$Z69)</f>
        <v/>
      </c>
      <c r="I69" s="41" t="str">
        <f t="shared" ref="I69:I100" si="48">IF($T69="","",$W69 &amp; "." &amp; $X69 &amp; "." &amp;$Y69&amp;"."&amp; $Z69+1)</f>
        <v/>
      </c>
      <c r="K69" s="45" t="str">
        <f t="shared" ref="K69:K100" si="49">IF($T69="","",$W69 &amp; "." &amp; $X69 &amp; "." &amp;$Y69&amp;"."&amp; $Z69+2)</f>
        <v/>
      </c>
      <c r="M69" s="47" t="str">
        <f t="shared" ref="M69:M100" si="50">IF($T69="","",$AA69 &amp; "." &amp; $AB69 &amp; "." &amp;$AC69&amp;"."&amp;$AD69)</f>
        <v/>
      </c>
      <c r="O69" s="50" t="str">
        <f t="shared" ref="O69:O100" si="51">IF($T69="","",IF($R69&gt;8,255 &amp; "." &amp; IF($R69&gt;16,255 &amp; "." &amp; IF($R69&gt;24,255 &amp; "." &amp; IF($R69&gt;24,BIN2DEC(REPT(1,$R69-24) &amp; REPT(0,32-$R69)),0),BIN2DEC(REPT(1,$R69-16) &amp; REPT(0,24-$R69)) &amp; ".0"),BIN2DEC(REPT(1,$R69-8) &amp; REPT(0,16-$R69)) &amp; ".0.0"),BIN2DEC(REPT(1,$R69-0) &amp; REPT(0,8-$R69)) &amp; ".0.0.0"))</f>
        <v/>
      </c>
      <c r="Q69" s="26" t="str">
        <f t="shared" ref="Q69:Q100" si="52">IF($T69="","",$AA69 &amp; "." &amp; $AB69 &amp; "." &amp;$AC69&amp;"."&amp;$AD69+1)</f>
        <v/>
      </c>
      <c r="R69" s="11" t="str">
        <f t="shared" si="18"/>
        <v/>
      </c>
      <c r="S69" s="11" t="str">
        <f t="shared" ref="S69:S100" si="53">IF($T69="","",IF(MOD($R69,8)=0,1,2^(8-MOD($R69,8))))</f>
        <v/>
      </c>
      <c r="T69" s="11" t="str">
        <f t="shared" si="19"/>
        <v/>
      </c>
      <c r="W69" s="31" t="str">
        <f t="shared" si="41"/>
        <v/>
      </c>
      <c r="X69" s="15" t="str">
        <f t="shared" si="42"/>
        <v/>
      </c>
      <c r="Y69" s="15" t="str">
        <f t="shared" si="43"/>
        <v/>
      </c>
      <c r="Z69" s="16" t="str">
        <f t="shared" si="44"/>
        <v/>
      </c>
      <c r="AA69" s="14" t="str">
        <f t="shared" ref="AA69:AA100" si="54">IF($T69="","",MOD($W69+FLOOR(((2^(32-$R69))+((256^2)*$X69)-2)/(256^3),1),256))</f>
        <v/>
      </c>
      <c r="AB69" s="15" t="str">
        <f t="shared" ref="AB69:AB100" si="55">IF($T69="","",MOD($X69+FLOOR(((2^(32-$R69))+(256*$Y69)-2)/(256^2),1),256))</f>
        <v/>
      </c>
      <c r="AC69" s="15" t="str">
        <f t="shared" ref="AC69:AC100" si="56">IF($T69="","",MOD($Y69+FLOOR(((2^(32-$R69))+$Z69-2)/256,1),256))</f>
        <v/>
      </c>
      <c r="AD69" s="16" t="str">
        <f t="shared" ref="AD69:AD100" si="57">IF($T69="","",MOD($Z69+2^(32-$R69)-2,256))</f>
        <v/>
      </c>
      <c r="AE69" s="14" t="str">
        <f t="shared" ref="AE69:AE100" si="58">IF($D69="","",MOD($W69+FLOOR(($D69+1)/(256^3),1),256))</f>
        <v/>
      </c>
      <c r="AF69" s="15" t="str">
        <f t="shared" ref="AF69:AF100" si="59">IF($D69="","",MOD($X69+FLOOR(($D69+1)/(256^2),1),256))</f>
        <v/>
      </c>
      <c r="AG69" s="15" t="str">
        <f t="shared" ref="AG69:AG100" si="60">IF($D69="","",MOD($Y69+FLOOR(($D69+1)/256,1),256))</f>
        <v/>
      </c>
      <c r="AH69" s="32" t="str">
        <f t="shared" ref="AH69:AH100" si="61">IF($D69="","",MOD($Z69+$D69+1,256))</f>
        <v/>
      </c>
    </row>
    <row r="70" spans="1:34" x14ac:dyDescent="0.25">
      <c r="A70" s="54"/>
      <c r="B70" s="13"/>
      <c r="C70" s="9"/>
      <c r="D70" s="13"/>
      <c r="E70" s="20" t="str">
        <f t="shared" si="45"/>
        <v/>
      </c>
      <c r="F70" s="3" t="str">
        <f t="shared" si="46"/>
        <v/>
      </c>
      <c r="G70" s="22" t="str">
        <f t="shared" si="47"/>
        <v/>
      </c>
      <c r="I70" s="41" t="str">
        <f t="shared" si="48"/>
        <v/>
      </c>
      <c r="K70" s="45" t="str">
        <f t="shared" si="49"/>
        <v/>
      </c>
      <c r="M70" s="47" t="str">
        <f t="shared" si="50"/>
        <v/>
      </c>
      <c r="O70" s="50" t="str">
        <f t="shared" si="51"/>
        <v/>
      </c>
      <c r="Q70" s="26" t="str">
        <f t="shared" si="52"/>
        <v/>
      </c>
      <c r="R70" s="11" t="str">
        <f t="shared" ref="R70:R125" si="62">IF($T70="","",FLOOR(32-LOG(IF($H$1="yes",MAX($B:$B),$B70)+2,2),1))</f>
        <v/>
      </c>
      <c r="S70" s="11" t="str">
        <f t="shared" si="53"/>
        <v/>
      </c>
      <c r="T70" s="11" t="str">
        <f t="shared" si="19"/>
        <v/>
      </c>
      <c r="W70" s="31" t="str">
        <f t="shared" ref="W70:W101" si="63">IF($T70="","",MOD($W69+FLOOR(((2^(32-$R69))+((256^2)*$X69))/(256^3),1),256))</f>
        <v/>
      </c>
      <c r="X70" s="15" t="str">
        <f t="shared" ref="X70:X101" si="64">IF($T70="","",MOD($X69+FLOOR(((2^(32-$R69))+(256*$Y69))/(256^2),1),256))</f>
        <v/>
      </c>
      <c r="Y70" s="15" t="str">
        <f t="shared" ref="Y70:Y101" si="65">IF($T70="","",MOD($Y69+FLOOR(((2^(32-$R69))+$Z69)/256,1),256))</f>
        <v/>
      </c>
      <c r="Z70" s="16" t="str">
        <f t="shared" ref="Z70:Z101" si="66">IF($T70="","",MOD($Z69+2^(32-$R69),256))</f>
        <v/>
      </c>
      <c r="AA70" s="14" t="str">
        <f t="shared" si="54"/>
        <v/>
      </c>
      <c r="AB70" s="15" t="str">
        <f t="shared" si="55"/>
        <v/>
      </c>
      <c r="AC70" s="15" t="str">
        <f t="shared" si="56"/>
        <v/>
      </c>
      <c r="AD70" s="16" t="str">
        <f t="shared" si="57"/>
        <v/>
      </c>
      <c r="AE70" s="14" t="str">
        <f t="shared" si="58"/>
        <v/>
      </c>
      <c r="AF70" s="15" t="str">
        <f t="shared" si="59"/>
        <v/>
      </c>
      <c r="AG70" s="15" t="str">
        <f t="shared" si="60"/>
        <v/>
      </c>
      <c r="AH70" s="32" t="str">
        <f t="shared" si="61"/>
        <v/>
      </c>
    </row>
    <row r="71" spans="1:34" x14ac:dyDescent="0.25">
      <c r="A71" s="54"/>
      <c r="B71" s="13"/>
      <c r="C71" s="9"/>
      <c r="D71" s="13"/>
      <c r="E71" s="20" t="str">
        <f t="shared" si="45"/>
        <v/>
      </c>
      <c r="F71" s="3" t="str">
        <f t="shared" si="46"/>
        <v/>
      </c>
      <c r="G71" s="22" t="str">
        <f t="shared" si="47"/>
        <v/>
      </c>
      <c r="I71" s="41" t="str">
        <f t="shared" si="48"/>
        <v/>
      </c>
      <c r="K71" s="45" t="str">
        <f t="shared" si="49"/>
        <v/>
      </c>
      <c r="M71" s="47" t="str">
        <f t="shared" si="50"/>
        <v/>
      </c>
      <c r="O71" s="50" t="str">
        <f t="shared" si="51"/>
        <v/>
      </c>
      <c r="Q71" s="26" t="str">
        <f t="shared" si="52"/>
        <v/>
      </c>
      <c r="R71" s="11" t="str">
        <f t="shared" si="62"/>
        <v/>
      </c>
      <c r="S71" s="11" t="str">
        <f t="shared" si="53"/>
        <v/>
      </c>
      <c r="T71" s="11" t="str">
        <f t="shared" ref="T71:T125" si="67">IF(OR(OR($T70="",$B71=""),OR(_xlfn.DECIMAL($W70,10)&gt;255,OR(_xlfn.DECIMAL($X70,10)&gt;255,OR(_xlfn.DECIMAL($Y70,10)&gt;255,_xlfn.DECIMAL($Z70,10)&gt;255)))),"",$T70+1)</f>
        <v/>
      </c>
      <c r="W71" s="31" t="str">
        <f t="shared" si="63"/>
        <v/>
      </c>
      <c r="X71" s="15" t="str">
        <f t="shared" si="64"/>
        <v/>
      </c>
      <c r="Y71" s="15" t="str">
        <f t="shared" si="65"/>
        <v/>
      </c>
      <c r="Z71" s="16" t="str">
        <f t="shared" si="66"/>
        <v/>
      </c>
      <c r="AA71" s="14" t="str">
        <f t="shared" si="54"/>
        <v/>
      </c>
      <c r="AB71" s="15" t="str">
        <f t="shared" si="55"/>
        <v/>
      </c>
      <c r="AC71" s="15" t="str">
        <f t="shared" si="56"/>
        <v/>
      </c>
      <c r="AD71" s="16" t="str">
        <f t="shared" si="57"/>
        <v/>
      </c>
      <c r="AE71" s="14" t="str">
        <f t="shared" si="58"/>
        <v/>
      </c>
      <c r="AF71" s="15" t="str">
        <f t="shared" si="59"/>
        <v/>
      </c>
      <c r="AG71" s="15" t="str">
        <f t="shared" si="60"/>
        <v/>
      </c>
      <c r="AH71" s="32" t="str">
        <f t="shared" si="61"/>
        <v/>
      </c>
    </row>
    <row r="72" spans="1:34" x14ac:dyDescent="0.25">
      <c r="A72" s="54"/>
      <c r="B72" s="13"/>
      <c r="C72" s="9"/>
      <c r="D72" s="13"/>
      <c r="E72" s="20" t="str">
        <f t="shared" si="45"/>
        <v/>
      </c>
      <c r="F72" s="3" t="str">
        <f t="shared" si="46"/>
        <v/>
      </c>
      <c r="G72" s="22" t="str">
        <f t="shared" si="47"/>
        <v/>
      </c>
      <c r="I72" s="41" t="str">
        <f t="shared" si="48"/>
        <v/>
      </c>
      <c r="K72" s="45" t="str">
        <f t="shared" si="49"/>
        <v/>
      </c>
      <c r="M72" s="47" t="str">
        <f t="shared" si="50"/>
        <v/>
      </c>
      <c r="O72" s="50" t="str">
        <f t="shared" si="51"/>
        <v/>
      </c>
      <c r="Q72" s="26" t="str">
        <f t="shared" si="52"/>
        <v/>
      </c>
      <c r="R72" s="11" t="str">
        <f t="shared" si="62"/>
        <v/>
      </c>
      <c r="S72" s="11" t="str">
        <f t="shared" si="53"/>
        <v/>
      </c>
      <c r="T72" s="11" t="str">
        <f t="shared" si="67"/>
        <v/>
      </c>
      <c r="W72" s="31" t="str">
        <f t="shared" si="63"/>
        <v/>
      </c>
      <c r="X72" s="15" t="str">
        <f t="shared" si="64"/>
        <v/>
      </c>
      <c r="Y72" s="15" t="str">
        <f t="shared" si="65"/>
        <v/>
      </c>
      <c r="Z72" s="16" t="str">
        <f t="shared" si="66"/>
        <v/>
      </c>
      <c r="AA72" s="14" t="str">
        <f t="shared" si="54"/>
        <v/>
      </c>
      <c r="AB72" s="15" t="str">
        <f t="shared" si="55"/>
        <v/>
      </c>
      <c r="AC72" s="15" t="str">
        <f t="shared" si="56"/>
        <v/>
      </c>
      <c r="AD72" s="16" t="str">
        <f t="shared" si="57"/>
        <v/>
      </c>
      <c r="AE72" s="14" t="str">
        <f t="shared" si="58"/>
        <v/>
      </c>
      <c r="AF72" s="15" t="str">
        <f t="shared" si="59"/>
        <v/>
      </c>
      <c r="AG72" s="15" t="str">
        <f t="shared" si="60"/>
        <v/>
      </c>
      <c r="AH72" s="32" t="str">
        <f t="shared" si="61"/>
        <v/>
      </c>
    </row>
    <row r="73" spans="1:34" x14ac:dyDescent="0.25">
      <c r="A73" s="54"/>
      <c r="B73" s="13"/>
      <c r="C73" s="9"/>
      <c r="D73" s="13"/>
      <c r="E73" s="20" t="str">
        <f t="shared" si="45"/>
        <v/>
      </c>
      <c r="F73" s="3" t="str">
        <f t="shared" si="46"/>
        <v/>
      </c>
      <c r="G73" s="22" t="str">
        <f t="shared" si="47"/>
        <v/>
      </c>
      <c r="I73" s="41" t="str">
        <f t="shared" si="48"/>
        <v/>
      </c>
      <c r="K73" s="45" t="str">
        <f t="shared" si="49"/>
        <v/>
      </c>
      <c r="M73" s="47" t="str">
        <f t="shared" si="50"/>
        <v/>
      </c>
      <c r="O73" s="50" t="str">
        <f t="shared" si="51"/>
        <v/>
      </c>
      <c r="Q73" s="26" t="str">
        <f t="shared" si="52"/>
        <v/>
      </c>
      <c r="R73" s="11" t="str">
        <f t="shared" si="62"/>
        <v/>
      </c>
      <c r="S73" s="11" t="str">
        <f t="shared" si="53"/>
        <v/>
      </c>
      <c r="T73" s="11" t="str">
        <f t="shared" si="67"/>
        <v/>
      </c>
      <c r="W73" s="31" t="str">
        <f t="shared" si="63"/>
        <v/>
      </c>
      <c r="X73" s="15" t="str">
        <f t="shared" si="64"/>
        <v/>
      </c>
      <c r="Y73" s="15" t="str">
        <f t="shared" si="65"/>
        <v/>
      </c>
      <c r="Z73" s="16" t="str">
        <f t="shared" si="66"/>
        <v/>
      </c>
      <c r="AA73" s="14" t="str">
        <f t="shared" si="54"/>
        <v/>
      </c>
      <c r="AB73" s="15" t="str">
        <f t="shared" si="55"/>
        <v/>
      </c>
      <c r="AC73" s="15" t="str">
        <f t="shared" si="56"/>
        <v/>
      </c>
      <c r="AD73" s="16" t="str">
        <f t="shared" si="57"/>
        <v/>
      </c>
      <c r="AE73" s="14" t="str">
        <f t="shared" si="58"/>
        <v/>
      </c>
      <c r="AF73" s="15" t="str">
        <f t="shared" si="59"/>
        <v/>
      </c>
      <c r="AG73" s="15" t="str">
        <f t="shared" si="60"/>
        <v/>
      </c>
      <c r="AH73" s="32" t="str">
        <f t="shared" si="61"/>
        <v/>
      </c>
    </row>
    <row r="74" spans="1:34" x14ac:dyDescent="0.25">
      <c r="A74" s="54"/>
      <c r="B74" s="13"/>
      <c r="C74" s="9"/>
      <c r="D74" s="13"/>
      <c r="E74" s="20" t="str">
        <f t="shared" si="45"/>
        <v/>
      </c>
      <c r="F74" s="3" t="str">
        <f t="shared" si="46"/>
        <v/>
      </c>
      <c r="G74" s="22" t="str">
        <f t="shared" si="47"/>
        <v/>
      </c>
      <c r="I74" s="41" t="str">
        <f t="shared" si="48"/>
        <v/>
      </c>
      <c r="K74" s="45" t="str">
        <f t="shared" si="49"/>
        <v/>
      </c>
      <c r="M74" s="47" t="str">
        <f t="shared" si="50"/>
        <v/>
      </c>
      <c r="O74" s="50" t="str">
        <f t="shared" si="51"/>
        <v/>
      </c>
      <c r="Q74" s="26" t="str">
        <f t="shared" si="52"/>
        <v/>
      </c>
      <c r="R74" s="11" t="str">
        <f t="shared" si="62"/>
        <v/>
      </c>
      <c r="S74" s="11" t="str">
        <f t="shared" si="53"/>
        <v/>
      </c>
      <c r="T74" s="11" t="str">
        <f t="shared" si="67"/>
        <v/>
      </c>
      <c r="W74" s="31" t="str">
        <f t="shared" si="63"/>
        <v/>
      </c>
      <c r="X74" s="15" t="str">
        <f t="shared" si="64"/>
        <v/>
      </c>
      <c r="Y74" s="15" t="str">
        <f t="shared" si="65"/>
        <v/>
      </c>
      <c r="Z74" s="16" t="str">
        <f t="shared" si="66"/>
        <v/>
      </c>
      <c r="AA74" s="14" t="str">
        <f t="shared" si="54"/>
        <v/>
      </c>
      <c r="AB74" s="15" t="str">
        <f t="shared" si="55"/>
        <v/>
      </c>
      <c r="AC74" s="15" t="str">
        <f t="shared" si="56"/>
        <v/>
      </c>
      <c r="AD74" s="16" t="str">
        <f t="shared" si="57"/>
        <v/>
      </c>
      <c r="AE74" s="14" t="str">
        <f t="shared" si="58"/>
        <v/>
      </c>
      <c r="AF74" s="15" t="str">
        <f t="shared" si="59"/>
        <v/>
      </c>
      <c r="AG74" s="15" t="str">
        <f t="shared" si="60"/>
        <v/>
      </c>
      <c r="AH74" s="32" t="str">
        <f t="shared" si="61"/>
        <v/>
      </c>
    </row>
    <row r="75" spans="1:34" x14ac:dyDescent="0.25">
      <c r="A75" s="54"/>
      <c r="B75" s="13"/>
      <c r="C75" s="9"/>
      <c r="D75" s="13"/>
      <c r="E75" s="20" t="str">
        <f t="shared" si="45"/>
        <v/>
      </c>
      <c r="F75" s="3" t="str">
        <f t="shared" si="46"/>
        <v/>
      </c>
      <c r="G75" s="22" t="str">
        <f t="shared" si="47"/>
        <v/>
      </c>
      <c r="I75" s="41" t="str">
        <f t="shared" si="48"/>
        <v/>
      </c>
      <c r="K75" s="45" t="str">
        <f t="shared" si="49"/>
        <v/>
      </c>
      <c r="M75" s="47" t="str">
        <f t="shared" si="50"/>
        <v/>
      </c>
      <c r="O75" s="50" t="str">
        <f t="shared" si="51"/>
        <v/>
      </c>
      <c r="Q75" s="26" t="str">
        <f t="shared" si="52"/>
        <v/>
      </c>
      <c r="R75" s="11" t="str">
        <f t="shared" si="62"/>
        <v/>
      </c>
      <c r="S75" s="11" t="str">
        <f t="shared" si="53"/>
        <v/>
      </c>
      <c r="T75" s="11" t="str">
        <f t="shared" si="67"/>
        <v/>
      </c>
      <c r="W75" s="31" t="str">
        <f t="shared" si="63"/>
        <v/>
      </c>
      <c r="X75" s="15" t="str">
        <f t="shared" si="64"/>
        <v/>
      </c>
      <c r="Y75" s="15" t="str">
        <f t="shared" si="65"/>
        <v/>
      </c>
      <c r="Z75" s="16" t="str">
        <f t="shared" si="66"/>
        <v/>
      </c>
      <c r="AA75" s="14" t="str">
        <f t="shared" si="54"/>
        <v/>
      </c>
      <c r="AB75" s="15" t="str">
        <f t="shared" si="55"/>
        <v/>
      </c>
      <c r="AC75" s="15" t="str">
        <f t="shared" si="56"/>
        <v/>
      </c>
      <c r="AD75" s="16" t="str">
        <f t="shared" si="57"/>
        <v/>
      </c>
      <c r="AE75" s="14" t="str">
        <f t="shared" si="58"/>
        <v/>
      </c>
      <c r="AF75" s="15" t="str">
        <f t="shared" si="59"/>
        <v/>
      </c>
      <c r="AG75" s="15" t="str">
        <f t="shared" si="60"/>
        <v/>
      </c>
      <c r="AH75" s="32" t="str">
        <f t="shared" si="61"/>
        <v/>
      </c>
    </row>
    <row r="76" spans="1:34" x14ac:dyDescent="0.25">
      <c r="A76" s="54"/>
      <c r="B76" s="13"/>
      <c r="C76" s="9"/>
      <c r="D76" s="13"/>
      <c r="E76" s="20" t="str">
        <f t="shared" si="45"/>
        <v/>
      </c>
      <c r="F76" s="3" t="str">
        <f t="shared" si="46"/>
        <v/>
      </c>
      <c r="G76" s="22" t="str">
        <f t="shared" si="47"/>
        <v/>
      </c>
      <c r="I76" s="41" t="str">
        <f t="shared" si="48"/>
        <v/>
      </c>
      <c r="K76" s="45" t="str">
        <f t="shared" si="49"/>
        <v/>
      </c>
      <c r="M76" s="47" t="str">
        <f t="shared" si="50"/>
        <v/>
      </c>
      <c r="O76" s="50" t="str">
        <f t="shared" si="51"/>
        <v/>
      </c>
      <c r="Q76" s="26" t="str">
        <f t="shared" si="52"/>
        <v/>
      </c>
      <c r="R76" s="11" t="str">
        <f t="shared" si="62"/>
        <v/>
      </c>
      <c r="S76" s="11" t="str">
        <f t="shared" si="53"/>
        <v/>
      </c>
      <c r="T76" s="11" t="str">
        <f t="shared" si="67"/>
        <v/>
      </c>
      <c r="W76" s="31" t="str">
        <f t="shared" si="63"/>
        <v/>
      </c>
      <c r="X76" s="15" t="str">
        <f t="shared" si="64"/>
        <v/>
      </c>
      <c r="Y76" s="15" t="str">
        <f t="shared" si="65"/>
        <v/>
      </c>
      <c r="Z76" s="16" t="str">
        <f t="shared" si="66"/>
        <v/>
      </c>
      <c r="AA76" s="14" t="str">
        <f t="shared" si="54"/>
        <v/>
      </c>
      <c r="AB76" s="15" t="str">
        <f t="shared" si="55"/>
        <v/>
      </c>
      <c r="AC76" s="15" t="str">
        <f t="shared" si="56"/>
        <v/>
      </c>
      <c r="AD76" s="16" t="str">
        <f t="shared" si="57"/>
        <v/>
      </c>
      <c r="AE76" s="14" t="str">
        <f t="shared" si="58"/>
        <v/>
      </c>
      <c r="AF76" s="15" t="str">
        <f t="shared" si="59"/>
        <v/>
      </c>
      <c r="AG76" s="15" t="str">
        <f t="shared" si="60"/>
        <v/>
      </c>
      <c r="AH76" s="32" t="str">
        <f t="shared" si="61"/>
        <v/>
      </c>
    </row>
    <row r="77" spans="1:34" x14ac:dyDescent="0.25">
      <c r="A77" s="54"/>
      <c r="B77" s="13"/>
      <c r="C77" s="9"/>
      <c r="D77" s="13"/>
      <c r="E77" s="20" t="str">
        <f t="shared" si="45"/>
        <v/>
      </c>
      <c r="F77" s="3" t="str">
        <f t="shared" si="46"/>
        <v/>
      </c>
      <c r="G77" s="22" t="str">
        <f t="shared" si="47"/>
        <v/>
      </c>
      <c r="I77" s="41" t="str">
        <f t="shared" si="48"/>
        <v/>
      </c>
      <c r="K77" s="45" t="str">
        <f t="shared" si="49"/>
        <v/>
      </c>
      <c r="M77" s="47" t="str">
        <f t="shared" si="50"/>
        <v/>
      </c>
      <c r="O77" s="50" t="str">
        <f t="shared" si="51"/>
        <v/>
      </c>
      <c r="Q77" s="26" t="str">
        <f t="shared" si="52"/>
        <v/>
      </c>
      <c r="R77" s="11" t="str">
        <f t="shared" si="62"/>
        <v/>
      </c>
      <c r="S77" s="11" t="str">
        <f t="shared" si="53"/>
        <v/>
      </c>
      <c r="T77" s="11" t="str">
        <f t="shared" si="67"/>
        <v/>
      </c>
      <c r="W77" s="31" t="str">
        <f t="shared" si="63"/>
        <v/>
      </c>
      <c r="X77" s="15" t="str">
        <f t="shared" si="64"/>
        <v/>
      </c>
      <c r="Y77" s="15" t="str">
        <f t="shared" si="65"/>
        <v/>
      </c>
      <c r="Z77" s="16" t="str">
        <f t="shared" si="66"/>
        <v/>
      </c>
      <c r="AA77" s="14" t="str">
        <f t="shared" si="54"/>
        <v/>
      </c>
      <c r="AB77" s="15" t="str">
        <f t="shared" si="55"/>
        <v/>
      </c>
      <c r="AC77" s="15" t="str">
        <f t="shared" si="56"/>
        <v/>
      </c>
      <c r="AD77" s="16" t="str">
        <f t="shared" si="57"/>
        <v/>
      </c>
      <c r="AE77" s="14" t="str">
        <f t="shared" si="58"/>
        <v/>
      </c>
      <c r="AF77" s="15" t="str">
        <f t="shared" si="59"/>
        <v/>
      </c>
      <c r="AG77" s="15" t="str">
        <f t="shared" si="60"/>
        <v/>
      </c>
      <c r="AH77" s="32" t="str">
        <f t="shared" si="61"/>
        <v/>
      </c>
    </row>
    <row r="78" spans="1:34" x14ac:dyDescent="0.25">
      <c r="A78" s="54"/>
      <c r="B78" s="13"/>
      <c r="C78" s="9"/>
      <c r="D78" s="13"/>
      <c r="E78" s="20" t="str">
        <f t="shared" si="45"/>
        <v/>
      </c>
      <c r="F78" s="3" t="str">
        <f t="shared" si="46"/>
        <v/>
      </c>
      <c r="G78" s="22" t="str">
        <f t="shared" si="47"/>
        <v/>
      </c>
      <c r="I78" s="41" t="str">
        <f t="shared" si="48"/>
        <v/>
      </c>
      <c r="K78" s="45" t="str">
        <f t="shared" si="49"/>
        <v/>
      </c>
      <c r="M78" s="47" t="str">
        <f t="shared" si="50"/>
        <v/>
      </c>
      <c r="O78" s="50" t="str">
        <f t="shared" si="51"/>
        <v/>
      </c>
      <c r="Q78" s="26" t="str">
        <f t="shared" si="52"/>
        <v/>
      </c>
      <c r="R78" s="11" t="str">
        <f t="shared" si="62"/>
        <v/>
      </c>
      <c r="S78" s="11" t="str">
        <f t="shared" si="53"/>
        <v/>
      </c>
      <c r="T78" s="11" t="str">
        <f t="shared" si="67"/>
        <v/>
      </c>
      <c r="W78" s="31" t="str">
        <f t="shared" si="63"/>
        <v/>
      </c>
      <c r="X78" s="15" t="str">
        <f t="shared" si="64"/>
        <v/>
      </c>
      <c r="Y78" s="15" t="str">
        <f t="shared" si="65"/>
        <v/>
      </c>
      <c r="Z78" s="16" t="str">
        <f t="shared" si="66"/>
        <v/>
      </c>
      <c r="AA78" s="14" t="str">
        <f t="shared" si="54"/>
        <v/>
      </c>
      <c r="AB78" s="15" t="str">
        <f t="shared" si="55"/>
        <v/>
      </c>
      <c r="AC78" s="15" t="str">
        <f t="shared" si="56"/>
        <v/>
      </c>
      <c r="AD78" s="16" t="str">
        <f t="shared" si="57"/>
        <v/>
      </c>
      <c r="AE78" s="14" t="str">
        <f t="shared" si="58"/>
        <v/>
      </c>
      <c r="AF78" s="15" t="str">
        <f t="shared" si="59"/>
        <v/>
      </c>
      <c r="AG78" s="15" t="str">
        <f t="shared" si="60"/>
        <v/>
      </c>
      <c r="AH78" s="32" t="str">
        <f t="shared" si="61"/>
        <v/>
      </c>
    </row>
    <row r="79" spans="1:34" x14ac:dyDescent="0.25">
      <c r="A79" s="54"/>
      <c r="B79" s="13"/>
      <c r="C79" s="9"/>
      <c r="D79" s="13"/>
      <c r="E79" s="20" t="str">
        <f t="shared" si="45"/>
        <v/>
      </c>
      <c r="F79" s="3" t="str">
        <f t="shared" si="46"/>
        <v/>
      </c>
      <c r="G79" s="22" t="str">
        <f t="shared" si="47"/>
        <v/>
      </c>
      <c r="I79" s="41" t="str">
        <f t="shared" si="48"/>
        <v/>
      </c>
      <c r="K79" s="45" t="str">
        <f t="shared" si="49"/>
        <v/>
      </c>
      <c r="M79" s="47" t="str">
        <f t="shared" si="50"/>
        <v/>
      </c>
      <c r="O79" s="50" t="str">
        <f t="shared" si="51"/>
        <v/>
      </c>
      <c r="Q79" s="26" t="str">
        <f t="shared" si="52"/>
        <v/>
      </c>
      <c r="R79" s="11" t="str">
        <f t="shared" si="62"/>
        <v/>
      </c>
      <c r="S79" s="11" t="str">
        <f t="shared" si="53"/>
        <v/>
      </c>
      <c r="T79" s="11" t="str">
        <f t="shared" si="67"/>
        <v/>
      </c>
      <c r="W79" s="31" t="str">
        <f t="shared" si="63"/>
        <v/>
      </c>
      <c r="X79" s="15" t="str">
        <f t="shared" si="64"/>
        <v/>
      </c>
      <c r="Y79" s="15" t="str">
        <f t="shared" si="65"/>
        <v/>
      </c>
      <c r="Z79" s="16" t="str">
        <f t="shared" si="66"/>
        <v/>
      </c>
      <c r="AA79" s="14" t="str">
        <f t="shared" si="54"/>
        <v/>
      </c>
      <c r="AB79" s="15" t="str">
        <f t="shared" si="55"/>
        <v/>
      </c>
      <c r="AC79" s="15" t="str">
        <f t="shared" si="56"/>
        <v/>
      </c>
      <c r="AD79" s="16" t="str">
        <f t="shared" si="57"/>
        <v/>
      </c>
      <c r="AE79" s="14" t="str">
        <f t="shared" si="58"/>
        <v/>
      </c>
      <c r="AF79" s="15" t="str">
        <f t="shared" si="59"/>
        <v/>
      </c>
      <c r="AG79" s="15" t="str">
        <f t="shared" si="60"/>
        <v/>
      </c>
      <c r="AH79" s="32" t="str">
        <f t="shared" si="61"/>
        <v/>
      </c>
    </row>
    <row r="80" spans="1:34" x14ac:dyDescent="0.25">
      <c r="A80" s="54"/>
      <c r="B80" s="13"/>
      <c r="C80" s="9"/>
      <c r="D80" s="13"/>
      <c r="E80" s="20" t="str">
        <f t="shared" si="45"/>
        <v/>
      </c>
      <c r="F80" s="3" t="str">
        <f t="shared" si="46"/>
        <v/>
      </c>
      <c r="G80" s="22" t="str">
        <f t="shared" si="47"/>
        <v/>
      </c>
      <c r="I80" s="41" t="str">
        <f t="shared" si="48"/>
        <v/>
      </c>
      <c r="K80" s="45" t="str">
        <f t="shared" si="49"/>
        <v/>
      </c>
      <c r="M80" s="47" t="str">
        <f t="shared" si="50"/>
        <v/>
      </c>
      <c r="O80" s="50" t="str">
        <f t="shared" si="51"/>
        <v/>
      </c>
      <c r="Q80" s="26" t="str">
        <f t="shared" si="52"/>
        <v/>
      </c>
      <c r="R80" s="11" t="str">
        <f t="shared" si="62"/>
        <v/>
      </c>
      <c r="S80" s="11" t="str">
        <f t="shared" si="53"/>
        <v/>
      </c>
      <c r="T80" s="11" t="str">
        <f t="shared" si="67"/>
        <v/>
      </c>
      <c r="W80" s="31" t="str">
        <f t="shared" si="63"/>
        <v/>
      </c>
      <c r="X80" s="15" t="str">
        <f t="shared" si="64"/>
        <v/>
      </c>
      <c r="Y80" s="15" t="str">
        <f t="shared" si="65"/>
        <v/>
      </c>
      <c r="Z80" s="16" t="str">
        <f t="shared" si="66"/>
        <v/>
      </c>
      <c r="AA80" s="14" t="str">
        <f t="shared" si="54"/>
        <v/>
      </c>
      <c r="AB80" s="15" t="str">
        <f t="shared" si="55"/>
        <v/>
      </c>
      <c r="AC80" s="15" t="str">
        <f t="shared" si="56"/>
        <v/>
      </c>
      <c r="AD80" s="16" t="str">
        <f t="shared" si="57"/>
        <v/>
      </c>
      <c r="AE80" s="14" t="str">
        <f t="shared" si="58"/>
        <v/>
      </c>
      <c r="AF80" s="15" t="str">
        <f t="shared" si="59"/>
        <v/>
      </c>
      <c r="AG80" s="15" t="str">
        <f t="shared" si="60"/>
        <v/>
      </c>
      <c r="AH80" s="32" t="str">
        <f t="shared" si="61"/>
        <v/>
      </c>
    </row>
    <row r="81" spans="1:34" x14ac:dyDescent="0.25">
      <c r="A81" s="54"/>
      <c r="B81" s="13"/>
      <c r="C81" s="9"/>
      <c r="D81" s="13"/>
      <c r="E81" s="20" t="str">
        <f t="shared" si="45"/>
        <v/>
      </c>
      <c r="F81" s="3" t="str">
        <f t="shared" si="46"/>
        <v/>
      </c>
      <c r="G81" s="22" t="str">
        <f t="shared" si="47"/>
        <v/>
      </c>
      <c r="I81" s="41" t="str">
        <f t="shared" si="48"/>
        <v/>
      </c>
      <c r="K81" s="45" t="str">
        <f t="shared" si="49"/>
        <v/>
      </c>
      <c r="M81" s="47" t="str">
        <f t="shared" si="50"/>
        <v/>
      </c>
      <c r="O81" s="50" t="str">
        <f t="shared" si="51"/>
        <v/>
      </c>
      <c r="Q81" s="26" t="str">
        <f t="shared" si="52"/>
        <v/>
      </c>
      <c r="R81" s="11" t="str">
        <f t="shared" si="62"/>
        <v/>
      </c>
      <c r="S81" s="11" t="str">
        <f t="shared" si="53"/>
        <v/>
      </c>
      <c r="T81" s="11" t="str">
        <f t="shared" si="67"/>
        <v/>
      </c>
      <c r="W81" s="31" t="str">
        <f t="shared" si="63"/>
        <v/>
      </c>
      <c r="X81" s="15" t="str">
        <f t="shared" si="64"/>
        <v/>
      </c>
      <c r="Y81" s="15" t="str">
        <f t="shared" si="65"/>
        <v/>
      </c>
      <c r="Z81" s="16" t="str">
        <f t="shared" si="66"/>
        <v/>
      </c>
      <c r="AA81" s="14" t="str">
        <f t="shared" si="54"/>
        <v/>
      </c>
      <c r="AB81" s="15" t="str">
        <f t="shared" si="55"/>
        <v/>
      </c>
      <c r="AC81" s="15" t="str">
        <f t="shared" si="56"/>
        <v/>
      </c>
      <c r="AD81" s="16" t="str">
        <f t="shared" si="57"/>
        <v/>
      </c>
      <c r="AE81" s="14" t="str">
        <f t="shared" si="58"/>
        <v/>
      </c>
      <c r="AF81" s="15" t="str">
        <f t="shared" si="59"/>
        <v/>
      </c>
      <c r="AG81" s="15" t="str">
        <f t="shared" si="60"/>
        <v/>
      </c>
      <c r="AH81" s="32" t="str">
        <f t="shared" si="61"/>
        <v/>
      </c>
    </row>
    <row r="82" spans="1:34" x14ac:dyDescent="0.25">
      <c r="A82" s="54"/>
      <c r="B82" s="13"/>
      <c r="C82" s="9"/>
      <c r="D82" s="13"/>
      <c r="E82" s="20" t="str">
        <f t="shared" si="45"/>
        <v/>
      </c>
      <c r="F82" s="3" t="str">
        <f t="shared" si="46"/>
        <v/>
      </c>
      <c r="G82" s="22" t="str">
        <f t="shared" si="47"/>
        <v/>
      </c>
      <c r="I82" s="41" t="str">
        <f t="shared" si="48"/>
        <v/>
      </c>
      <c r="K82" s="45" t="str">
        <f t="shared" si="49"/>
        <v/>
      </c>
      <c r="M82" s="47" t="str">
        <f t="shared" si="50"/>
        <v/>
      </c>
      <c r="O82" s="50" t="str">
        <f t="shared" si="51"/>
        <v/>
      </c>
      <c r="Q82" s="26" t="str">
        <f t="shared" si="52"/>
        <v/>
      </c>
      <c r="R82" s="11" t="str">
        <f t="shared" si="62"/>
        <v/>
      </c>
      <c r="S82" s="11" t="str">
        <f t="shared" si="53"/>
        <v/>
      </c>
      <c r="T82" s="11" t="str">
        <f t="shared" si="67"/>
        <v/>
      </c>
      <c r="W82" s="31" t="str">
        <f t="shared" si="63"/>
        <v/>
      </c>
      <c r="X82" s="15" t="str">
        <f t="shared" si="64"/>
        <v/>
      </c>
      <c r="Y82" s="15" t="str">
        <f t="shared" si="65"/>
        <v/>
      </c>
      <c r="Z82" s="16" t="str">
        <f t="shared" si="66"/>
        <v/>
      </c>
      <c r="AA82" s="14" t="str">
        <f t="shared" si="54"/>
        <v/>
      </c>
      <c r="AB82" s="15" t="str">
        <f t="shared" si="55"/>
        <v/>
      </c>
      <c r="AC82" s="15" t="str">
        <f t="shared" si="56"/>
        <v/>
      </c>
      <c r="AD82" s="16" t="str">
        <f t="shared" si="57"/>
        <v/>
      </c>
      <c r="AE82" s="14" t="str">
        <f t="shared" si="58"/>
        <v/>
      </c>
      <c r="AF82" s="15" t="str">
        <f t="shared" si="59"/>
        <v/>
      </c>
      <c r="AG82" s="15" t="str">
        <f t="shared" si="60"/>
        <v/>
      </c>
      <c r="AH82" s="32" t="str">
        <f t="shared" si="61"/>
        <v/>
      </c>
    </row>
    <row r="83" spans="1:34" x14ac:dyDescent="0.25">
      <c r="A83" s="54"/>
      <c r="B83" s="13"/>
      <c r="C83" s="9"/>
      <c r="D83" s="13"/>
      <c r="E83" s="20" t="str">
        <f t="shared" si="45"/>
        <v/>
      </c>
      <c r="F83" s="3" t="str">
        <f t="shared" si="46"/>
        <v/>
      </c>
      <c r="G83" s="22" t="str">
        <f t="shared" si="47"/>
        <v/>
      </c>
      <c r="I83" s="41" t="str">
        <f t="shared" si="48"/>
        <v/>
      </c>
      <c r="K83" s="45" t="str">
        <f t="shared" si="49"/>
        <v/>
      </c>
      <c r="M83" s="47" t="str">
        <f t="shared" si="50"/>
        <v/>
      </c>
      <c r="O83" s="50" t="str">
        <f t="shared" si="51"/>
        <v/>
      </c>
      <c r="Q83" s="26" t="str">
        <f t="shared" si="52"/>
        <v/>
      </c>
      <c r="R83" s="11" t="str">
        <f t="shared" si="62"/>
        <v/>
      </c>
      <c r="S83" s="11" t="str">
        <f t="shared" si="53"/>
        <v/>
      </c>
      <c r="T83" s="11" t="str">
        <f t="shared" si="67"/>
        <v/>
      </c>
      <c r="W83" s="31" t="str">
        <f t="shared" si="63"/>
        <v/>
      </c>
      <c r="X83" s="15" t="str">
        <f t="shared" si="64"/>
        <v/>
      </c>
      <c r="Y83" s="15" t="str">
        <f t="shared" si="65"/>
        <v/>
      </c>
      <c r="Z83" s="16" t="str">
        <f t="shared" si="66"/>
        <v/>
      </c>
      <c r="AA83" s="14" t="str">
        <f t="shared" si="54"/>
        <v/>
      </c>
      <c r="AB83" s="15" t="str">
        <f t="shared" si="55"/>
        <v/>
      </c>
      <c r="AC83" s="15" t="str">
        <f t="shared" si="56"/>
        <v/>
      </c>
      <c r="AD83" s="16" t="str">
        <f t="shared" si="57"/>
        <v/>
      </c>
      <c r="AE83" s="14" t="str">
        <f t="shared" si="58"/>
        <v/>
      </c>
      <c r="AF83" s="15" t="str">
        <f t="shared" si="59"/>
        <v/>
      </c>
      <c r="AG83" s="15" t="str">
        <f t="shared" si="60"/>
        <v/>
      </c>
      <c r="AH83" s="32" t="str">
        <f t="shared" si="61"/>
        <v/>
      </c>
    </row>
    <row r="84" spans="1:34" x14ac:dyDescent="0.25">
      <c r="A84" s="54"/>
      <c r="B84" s="13"/>
      <c r="C84" s="9"/>
      <c r="D84" s="13"/>
      <c r="E84" s="20" t="str">
        <f t="shared" si="45"/>
        <v/>
      </c>
      <c r="F84" s="3" t="str">
        <f t="shared" si="46"/>
        <v/>
      </c>
      <c r="G84" s="22" t="str">
        <f t="shared" si="47"/>
        <v/>
      </c>
      <c r="I84" s="41" t="str">
        <f t="shared" si="48"/>
        <v/>
      </c>
      <c r="K84" s="45" t="str">
        <f t="shared" si="49"/>
        <v/>
      </c>
      <c r="M84" s="47" t="str">
        <f t="shared" si="50"/>
        <v/>
      </c>
      <c r="O84" s="50" t="str">
        <f t="shared" si="51"/>
        <v/>
      </c>
      <c r="Q84" s="26" t="str">
        <f t="shared" si="52"/>
        <v/>
      </c>
      <c r="R84" s="11" t="str">
        <f t="shared" si="62"/>
        <v/>
      </c>
      <c r="S84" s="11" t="str">
        <f t="shared" si="53"/>
        <v/>
      </c>
      <c r="T84" s="11" t="str">
        <f t="shared" si="67"/>
        <v/>
      </c>
      <c r="W84" s="31" t="str">
        <f t="shared" si="63"/>
        <v/>
      </c>
      <c r="X84" s="15" t="str">
        <f t="shared" si="64"/>
        <v/>
      </c>
      <c r="Y84" s="15" t="str">
        <f t="shared" si="65"/>
        <v/>
      </c>
      <c r="Z84" s="16" t="str">
        <f t="shared" si="66"/>
        <v/>
      </c>
      <c r="AA84" s="14" t="str">
        <f t="shared" si="54"/>
        <v/>
      </c>
      <c r="AB84" s="15" t="str">
        <f t="shared" si="55"/>
        <v/>
      </c>
      <c r="AC84" s="15" t="str">
        <f t="shared" si="56"/>
        <v/>
      </c>
      <c r="AD84" s="16" t="str">
        <f t="shared" si="57"/>
        <v/>
      </c>
      <c r="AE84" s="14" t="str">
        <f t="shared" si="58"/>
        <v/>
      </c>
      <c r="AF84" s="15" t="str">
        <f t="shared" si="59"/>
        <v/>
      </c>
      <c r="AG84" s="15" t="str">
        <f t="shared" si="60"/>
        <v/>
      </c>
      <c r="AH84" s="32" t="str">
        <f t="shared" si="61"/>
        <v/>
      </c>
    </row>
    <row r="85" spans="1:34" x14ac:dyDescent="0.25">
      <c r="A85" s="54"/>
      <c r="B85" s="13"/>
      <c r="C85" s="9"/>
      <c r="D85" s="13"/>
      <c r="E85" s="20" t="str">
        <f t="shared" si="45"/>
        <v/>
      </c>
      <c r="F85" s="3" t="str">
        <f t="shared" si="46"/>
        <v/>
      </c>
      <c r="G85" s="22" t="str">
        <f t="shared" si="47"/>
        <v/>
      </c>
      <c r="I85" s="41" t="str">
        <f t="shared" si="48"/>
        <v/>
      </c>
      <c r="K85" s="45" t="str">
        <f t="shared" si="49"/>
        <v/>
      </c>
      <c r="M85" s="47" t="str">
        <f t="shared" si="50"/>
        <v/>
      </c>
      <c r="O85" s="50" t="str">
        <f t="shared" si="51"/>
        <v/>
      </c>
      <c r="Q85" s="26" t="str">
        <f t="shared" si="52"/>
        <v/>
      </c>
      <c r="R85" s="11" t="str">
        <f t="shared" si="62"/>
        <v/>
      </c>
      <c r="S85" s="11" t="str">
        <f t="shared" si="53"/>
        <v/>
      </c>
      <c r="T85" s="11" t="str">
        <f t="shared" si="67"/>
        <v/>
      </c>
      <c r="W85" s="31" t="str">
        <f t="shared" si="63"/>
        <v/>
      </c>
      <c r="X85" s="15" t="str">
        <f t="shared" si="64"/>
        <v/>
      </c>
      <c r="Y85" s="15" t="str">
        <f t="shared" si="65"/>
        <v/>
      </c>
      <c r="Z85" s="16" t="str">
        <f t="shared" si="66"/>
        <v/>
      </c>
      <c r="AA85" s="14" t="str">
        <f t="shared" si="54"/>
        <v/>
      </c>
      <c r="AB85" s="15" t="str">
        <f t="shared" si="55"/>
        <v/>
      </c>
      <c r="AC85" s="15" t="str">
        <f t="shared" si="56"/>
        <v/>
      </c>
      <c r="AD85" s="16" t="str">
        <f t="shared" si="57"/>
        <v/>
      </c>
      <c r="AE85" s="14" t="str">
        <f t="shared" si="58"/>
        <v/>
      </c>
      <c r="AF85" s="15" t="str">
        <f t="shared" si="59"/>
        <v/>
      </c>
      <c r="AG85" s="15" t="str">
        <f t="shared" si="60"/>
        <v/>
      </c>
      <c r="AH85" s="32" t="str">
        <f t="shared" si="61"/>
        <v/>
      </c>
    </row>
    <row r="86" spans="1:34" x14ac:dyDescent="0.25">
      <c r="A86" s="54"/>
      <c r="B86" s="13"/>
      <c r="C86" s="9"/>
      <c r="D86" s="13"/>
      <c r="E86" s="20" t="str">
        <f t="shared" si="45"/>
        <v/>
      </c>
      <c r="F86" s="3" t="str">
        <f t="shared" si="46"/>
        <v/>
      </c>
      <c r="G86" s="22" t="str">
        <f t="shared" si="47"/>
        <v/>
      </c>
      <c r="I86" s="41" t="str">
        <f t="shared" si="48"/>
        <v/>
      </c>
      <c r="K86" s="45" t="str">
        <f t="shared" si="49"/>
        <v/>
      </c>
      <c r="M86" s="47" t="str">
        <f t="shared" si="50"/>
        <v/>
      </c>
      <c r="O86" s="50" t="str">
        <f t="shared" si="51"/>
        <v/>
      </c>
      <c r="Q86" s="26" t="str">
        <f t="shared" si="52"/>
        <v/>
      </c>
      <c r="R86" s="11" t="str">
        <f t="shared" si="62"/>
        <v/>
      </c>
      <c r="S86" s="11" t="str">
        <f t="shared" si="53"/>
        <v/>
      </c>
      <c r="T86" s="11" t="str">
        <f t="shared" si="67"/>
        <v/>
      </c>
      <c r="W86" s="31" t="str">
        <f t="shared" si="63"/>
        <v/>
      </c>
      <c r="X86" s="15" t="str">
        <f t="shared" si="64"/>
        <v/>
      </c>
      <c r="Y86" s="15" t="str">
        <f t="shared" si="65"/>
        <v/>
      </c>
      <c r="Z86" s="16" t="str">
        <f t="shared" si="66"/>
        <v/>
      </c>
      <c r="AA86" s="14" t="str">
        <f t="shared" si="54"/>
        <v/>
      </c>
      <c r="AB86" s="15" t="str">
        <f t="shared" si="55"/>
        <v/>
      </c>
      <c r="AC86" s="15" t="str">
        <f t="shared" si="56"/>
        <v/>
      </c>
      <c r="AD86" s="16" t="str">
        <f t="shared" si="57"/>
        <v/>
      </c>
      <c r="AE86" s="14" t="str">
        <f t="shared" si="58"/>
        <v/>
      </c>
      <c r="AF86" s="15" t="str">
        <f t="shared" si="59"/>
        <v/>
      </c>
      <c r="AG86" s="15" t="str">
        <f t="shared" si="60"/>
        <v/>
      </c>
      <c r="AH86" s="32" t="str">
        <f t="shared" si="61"/>
        <v/>
      </c>
    </row>
    <row r="87" spans="1:34" x14ac:dyDescent="0.25">
      <c r="A87" s="54"/>
      <c r="B87" s="13"/>
      <c r="C87" s="9"/>
      <c r="D87" s="13"/>
      <c r="E87" s="20" t="str">
        <f t="shared" si="45"/>
        <v/>
      </c>
      <c r="F87" s="3" t="str">
        <f t="shared" si="46"/>
        <v/>
      </c>
      <c r="G87" s="22" t="str">
        <f t="shared" si="47"/>
        <v/>
      </c>
      <c r="I87" s="41" t="str">
        <f t="shared" si="48"/>
        <v/>
      </c>
      <c r="K87" s="45" t="str">
        <f t="shared" si="49"/>
        <v/>
      </c>
      <c r="M87" s="47" t="str">
        <f t="shared" si="50"/>
        <v/>
      </c>
      <c r="O87" s="50" t="str">
        <f t="shared" si="51"/>
        <v/>
      </c>
      <c r="Q87" s="26" t="str">
        <f t="shared" si="52"/>
        <v/>
      </c>
      <c r="R87" s="11" t="str">
        <f t="shared" si="62"/>
        <v/>
      </c>
      <c r="S87" s="11" t="str">
        <f t="shared" si="53"/>
        <v/>
      </c>
      <c r="T87" s="11" t="str">
        <f t="shared" si="67"/>
        <v/>
      </c>
      <c r="W87" s="31" t="str">
        <f t="shared" si="63"/>
        <v/>
      </c>
      <c r="X87" s="15" t="str">
        <f t="shared" si="64"/>
        <v/>
      </c>
      <c r="Y87" s="15" t="str">
        <f t="shared" si="65"/>
        <v/>
      </c>
      <c r="Z87" s="16" t="str">
        <f t="shared" si="66"/>
        <v/>
      </c>
      <c r="AA87" s="14" t="str">
        <f t="shared" si="54"/>
        <v/>
      </c>
      <c r="AB87" s="15" t="str">
        <f t="shared" si="55"/>
        <v/>
      </c>
      <c r="AC87" s="15" t="str">
        <f t="shared" si="56"/>
        <v/>
      </c>
      <c r="AD87" s="16" t="str">
        <f t="shared" si="57"/>
        <v/>
      </c>
      <c r="AE87" s="14" t="str">
        <f t="shared" si="58"/>
        <v/>
      </c>
      <c r="AF87" s="15" t="str">
        <f t="shared" si="59"/>
        <v/>
      </c>
      <c r="AG87" s="15" t="str">
        <f t="shared" si="60"/>
        <v/>
      </c>
      <c r="AH87" s="32" t="str">
        <f t="shared" si="61"/>
        <v/>
      </c>
    </row>
    <row r="88" spans="1:34" x14ac:dyDescent="0.25">
      <c r="A88" s="54"/>
      <c r="B88" s="13"/>
      <c r="C88" s="9"/>
      <c r="D88" s="13"/>
      <c r="E88" s="20" t="str">
        <f t="shared" si="45"/>
        <v/>
      </c>
      <c r="F88" s="3" t="str">
        <f t="shared" si="46"/>
        <v/>
      </c>
      <c r="G88" s="22" t="str">
        <f t="shared" si="47"/>
        <v/>
      </c>
      <c r="I88" s="41" t="str">
        <f t="shared" si="48"/>
        <v/>
      </c>
      <c r="K88" s="45" t="str">
        <f t="shared" si="49"/>
        <v/>
      </c>
      <c r="M88" s="47" t="str">
        <f t="shared" si="50"/>
        <v/>
      </c>
      <c r="O88" s="50" t="str">
        <f t="shared" si="51"/>
        <v/>
      </c>
      <c r="Q88" s="26" t="str">
        <f t="shared" si="52"/>
        <v/>
      </c>
      <c r="R88" s="11" t="str">
        <f t="shared" si="62"/>
        <v/>
      </c>
      <c r="S88" s="11" t="str">
        <f t="shared" si="53"/>
        <v/>
      </c>
      <c r="T88" s="11" t="str">
        <f t="shared" si="67"/>
        <v/>
      </c>
      <c r="W88" s="31" t="str">
        <f t="shared" si="63"/>
        <v/>
      </c>
      <c r="X88" s="15" t="str">
        <f t="shared" si="64"/>
        <v/>
      </c>
      <c r="Y88" s="15" t="str">
        <f t="shared" si="65"/>
        <v/>
      </c>
      <c r="Z88" s="16" t="str">
        <f t="shared" si="66"/>
        <v/>
      </c>
      <c r="AA88" s="14" t="str">
        <f t="shared" si="54"/>
        <v/>
      </c>
      <c r="AB88" s="15" t="str">
        <f t="shared" si="55"/>
        <v/>
      </c>
      <c r="AC88" s="15" t="str">
        <f t="shared" si="56"/>
        <v/>
      </c>
      <c r="AD88" s="16" t="str">
        <f t="shared" si="57"/>
        <v/>
      </c>
      <c r="AE88" s="14" t="str">
        <f t="shared" si="58"/>
        <v/>
      </c>
      <c r="AF88" s="15" t="str">
        <f t="shared" si="59"/>
        <v/>
      </c>
      <c r="AG88" s="15" t="str">
        <f t="shared" si="60"/>
        <v/>
      </c>
      <c r="AH88" s="32" t="str">
        <f t="shared" si="61"/>
        <v/>
      </c>
    </row>
    <row r="89" spans="1:34" x14ac:dyDescent="0.25">
      <c r="A89" s="54"/>
      <c r="B89" s="13"/>
      <c r="C89" s="9"/>
      <c r="D89" s="13"/>
      <c r="E89" s="20" t="str">
        <f t="shared" si="45"/>
        <v/>
      </c>
      <c r="F89" s="3" t="str">
        <f t="shared" si="46"/>
        <v/>
      </c>
      <c r="G89" s="22" t="str">
        <f t="shared" si="47"/>
        <v/>
      </c>
      <c r="I89" s="41" t="str">
        <f t="shared" si="48"/>
        <v/>
      </c>
      <c r="K89" s="45" t="str">
        <f t="shared" si="49"/>
        <v/>
      </c>
      <c r="M89" s="47" t="str">
        <f t="shared" si="50"/>
        <v/>
      </c>
      <c r="O89" s="50" t="str">
        <f t="shared" si="51"/>
        <v/>
      </c>
      <c r="Q89" s="26" t="str">
        <f t="shared" si="52"/>
        <v/>
      </c>
      <c r="R89" s="11" t="str">
        <f t="shared" si="62"/>
        <v/>
      </c>
      <c r="S89" s="11" t="str">
        <f t="shared" si="53"/>
        <v/>
      </c>
      <c r="T89" s="11" t="str">
        <f t="shared" si="67"/>
        <v/>
      </c>
      <c r="W89" s="31" t="str">
        <f t="shared" si="63"/>
        <v/>
      </c>
      <c r="X89" s="15" t="str">
        <f t="shared" si="64"/>
        <v/>
      </c>
      <c r="Y89" s="15" t="str">
        <f t="shared" si="65"/>
        <v/>
      </c>
      <c r="Z89" s="16" t="str">
        <f t="shared" si="66"/>
        <v/>
      </c>
      <c r="AA89" s="14" t="str">
        <f t="shared" si="54"/>
        <v/>
      </c>
      <c r="AB89" s="15" t="str">
        <f t="shared" si="55"/>
        <v/>
      </c>
      <c r="AC89" s="15" t="str">
        <f t="shared" si="56"/>
        <v/>
      </c>
      <c r="AD89" s="16" t="str">
        <f t="shared" si="57"/>
        <v/>
      </c>
      <c r="AE89" s="14" t="str">
        <f t="shared" si="58"/>
        <v/>
      </c>
      <c r="AF89" s="15" t="str">
        <f t="shared" si="59"/>
        <v/>
      </c>
      <c r="AG89" s="15" t="str">
        <f t="shared" si="60"/>
        <v/>
      </c>
      <c r="AH89" s="32" t="str">
        <f t="shared" si="61"/>
        <v/>
      </c>
    </row>
    <row r="90" spans="1:34" x14ac:dyDescent="0.25">
      <c r="A90" s="54"/>
      <c r="B90" s="13"/>
      <c r="C90" s="9"/>
      <c r="D90" s="13"/>
      <c r="E90" s="20" t="str">
        <f t="shared" si="45"/>
        <v/>
      </c>
      <c r="F90" s="3" t="str">
        <f t="shared" si="46"/>
        <v/>
      </c>
      <c r="G90" s="22" t="str">
        <f t="shared" si="47"/>
        <v/>
      </c>
      <c r="I90" s="41" t="str">
        <f t="shared" si="48"/>
        <v/>
      </c>
      <c r="K90" s="45" t="str">
        <f t="shared" si="49"/>
        <v/>
      </c>
      <c r="M90" s="47" t="str">
        <f t="shared" si="50"/>
        <v/>
      </c>
      <c r="O90" s="50" t="str">
        <f t="shared" si="51"/>
        <v/>
      </c>
      <c r="Q90" s="26" t="str">
        <f t="shared" si="52"/>
        <v/>
      </c>
      <c r="R90" s="11" t="str">
        <f t="shared" si="62"/>
        <v/>
      </c>
      <c r="S90" s="11" t="str">
        <f t="shared" si="53"/>
        <v/>
      </c>
      <c r="T90" s="11" t="str">
        <f t="shared" si="67"/>
        <v/>
      </c>
      <c r="W90" s="31" t="str">
        <f t="shared" si="63"/>
        <v/>
      </c>
      <c r="X90" s="15" t="str">
        <f t="shared" si="64"/>
        <v/>
      </c>
      <c r="Y90" s="15" t="str">
        <f t="shared" si="65"/>
        <v/>
      </c>
      <c r="Z90" s="16" t="str">
        <f t="shared" si="66"/>
        <v/>
      </c>
      <c r="AA90" s="14" t="str">
        <f t="shared" si="54"/>
        <v/>
      </c>
      <c r="AB90" s="15" t="str">
        <f t="shared" si="55"/>
        <v/>
      </c>
      <c r="AC90" s="15" t="str">
        <f t="shared" si="56"/>
        <v/>
      </c>
      <c r="AD90" s="16" t="str">
        <f t="shared" si="57"/>
        <v/>
      </c>
      <c r="AE90" s="14" t="str">
        <f t="shared" si="58"/>
        <v/>
      </c>
      <c r="AF90" s="15" t="str">
        <f t="shared" si="59"/>
        <v/>
      </c>
      <c r="AG90" s="15" t="str">
        <f t="shared" si="60"/>
        <v/>
      </c>
      <c r="AH90" s="32" t="str">
        <f t="shared" si="61"/>
        <v/>
      </c>
    </row>
    <row r="91" spans="1:34" x14ac:dyDescent="0.25">
      <c r="A91" s="54"/>
      <c r="B91" s="13"/>
      <c r="C91" s="9"/>
      <c r="D91" s="13"/>
      <c r="E91" s="20" t="str">
        <f t="shared" si="45"/>
        <v/>
      </c>
      <c r="F91" s="3" t="str">
        <f t="shared" si="46"/>
        <v/>
      </c>
      <c r="G91" s="22" t="str">
        <f t="shared" si="47"/>
        <v/>
      </c>
      <c r="I91" s="41" t="str">
        <f t="shared" si="48"/>
        <v/>
      </c>
      <c r="K91" s="45" t="str">
        <f t="shared" si="49"/>
        <v/>
      </c>
      <c r="M91" s="47" t="str">
        <f t="shared" si="50"/>
        <v/>
      </c>
      <c r="O91" s="50" t="str">
        <f t="shared" si="51"/>
        <v/>
      </c>
      <c r="Q91" s="26" t="str">
        <f t="shared" si="52"/>
        <v/>
      </c>
      <c r="R91" s="11" t="str">
        <f t="shared" si="62"/>
        <v/>
      </c>
      <c r="S91" s="11" t="str">
        <f t="shared" si="53"/>
        <v/>
      </c>
      <c r="T91" s="11" t="str">
        <f t="shared" si="67"/>
        <v/>
      </c>
      <c r="W91" s="31" t="str">
        <f t="shared" si="63"/>
        <v/>
      </c>
      <c r="X91" s="15" t="str">
        <f t="shared" si="64"/>
        <v/>
      </c>
      <c r="Y91" s="15" t="str">
        <f t="shared" si="65"/>
        <v/>
      </c>
      <c r="Z91" s="16" t="str">
        <f t="shared" si="66"/>
        <v/>
      </c>
      <c r="AA91" s="14" t="str">
        <f t="shared" si="54"/>
        <v/>
      </c>
      <c r="AB91" s="15" t="str">
        <f t="shared" si="55"/>
        <v/>
      </c>
      <c r="AC91" s="15" t="str">
        <f t="shared" si="56"/>
        <v/>
      </c>
      <c r="AD91" s="16" t="str">
        <f t="shared" si="57"/>
        <v/>
      </c>
      <c r="AE91" s="14" t="str">
        <f t="shared" si="58"/>
        <v/>
      </c>
      <c r="AF91" s="15" t="str">
        <f t="shared" si="59"/>
        <v/>
      </c>
      <c r="AG91" s="15" t="str">
        <f t="shared" si="60"/>
        <v/>
      </c>
      <c r="AH91" s="32" t="str">
        <f t="shared" si="61"/>
        <v/>
      </c>
    </row>
    <row r="92" spans="1:34" x14ac:dyDescent="0.25">
      <c r="A92" s="54"/>
      <c r="B92" s="13"/>
      <c r="C92" s="9"/>
      <c r="D92" s="13"/>
      <c r="E92" s="20" t="str">
        <f t="shared" si="45"/>
        <v/>
      </c>
      <c r="F92" s="3" t="str">
        <f t="shared" si="46"/>
        <v/>
      </c>
      <c r="G92" s="22" t="str">
        <f t="shared" si="47"/>
        <v/>
      </c>
      <c r="I92" s="41" t="str">
        <f t="shared" si="48"/>
        <v/>
      </c>
      <c r="K92" s="45" t="str">
        <f t="shared" si="49"/>
        <v/>
      </c>
      <c r="M92" s="47" t="str">
        <f t="shared" si="50"/>
        <v/>
      </c>
      <c r="O92" s="50" t="str">
        <f t="shared" si="51"/>
        <v/>
      </c>
      <c r="Q92" s="26" t="str">
        <f t="shared" si="52"/>
        <v/>
      </c>
      <c r="R92" s="11" t="str">
        <f t="shared" si="62"/>
        <v/>
      </c>
      <c r="S92" s="11" t="str">
        <f t="shared" si="53"/>
        <v/>
      </c>
      <c r="T92" s="11" t="str">
        <f t="shared" si="67"/>
        <v/>
      </c>
      <c r="W92" s="31" t="str">
        <f t="shared" si="63"/>
        <v/>
      </c>
      <c r="X92" s="15" t="str">
        <f t="shared" si="64"/>
        <v/>
      </c>
      <c r="Y92" s="15" t="str">
        <f t="shared" si="65"/>
        <v/>
      </c>
      <c r="Z92" s="16" t="str">
        <f t="shared" si="66"/>
        <v/>
      </c>
      <c r="AA92" s="14" t="str">
        <f t="shared" si="54"/>
        <v/>
      </c>
      <c r="AB92" s="15" t="str">
        <f t="shared" si="55"/>
        <v/>
      </c>
      <c r="AC92" s="15" t="str">
        <f t="shared" si="56"/>
        <v/>
      </c>
      <c r="AD92" s="16" t="str">
        <f t="shared" si="57"/>
        <v/>
      </c>
      <c r="AE92" s="14" t="str">
        <f t="shared" si="58"/>
        <v/>
      </c>
      <c r="AF92" s="15" t="str">
        <f t="shared" si="59"/>
        <v/>
      </c>
      <c r="AG92" s="15" t="str">
        <f t="shared" si="60"/>
        <v/>
      </c>
      <c r="AH92" s="32" t="str">
        <f t="shared" si="61"/>
        <v/>
      </c>
    </row>
    <row r="93" spans="1:34" x14ac:dyDescent="0.25">
      <c r="A93" s="54"/>
      <c r="B93" s="13"/>
      <c r="C93" s="9"/>
      <c r="D93" s="13"/>
      <c r="E93" s="20" t="str">
        <f t="shared" si="45"/>
        <v/>
      </c>
      <c r="F93" s="3" t="str">
        <f t="shared" si="46"/>
        <v/>
      </c>
      <c r="G93" s="22" t="str">
        <f t="shared" si="47"/>
        <v/>
      </c>
      <c r="I93" s="41" t="str">
        <f t="shared" si="48"/>
        <v/>
      </c>
      <c r="K93" s="45" t="str">
        <f t="shared" si="49"/>
        <v/>
      </c>
      <c r="M93" s="47" t="str">
        <f t="shared" si="50"/>
        <v/>
      </c>
      <c r="O93" s="50" t="str">
        <f t="shared" si="51"/>
        <v/>
      </c>
      <c r="Q93" s="26" t="str">
        <f t="shared" si="52"/>
        <v/>
      </c>
      <c r="R93" s="11" t="str">
        <f t="shared" si="62"/>
        <v/>
      </c>
      <c r="S93" s="11" t="str">
        <f t="shared" si="53"/>
        <v/>
      </c>
      <c r="T93" s="11" t="str">
        <f t="shared" si="67"/>
        <v/>
      </c>
      <c r="W93" s="31" t="str">
        <f t="shared" si="63"/>
        <v/>
      </c>
      <c r="X93" s="15" t="str">
        <f t="shared" si="64"/>
        <v/>
      </c>
      <c r="Y93" s="15" t="str">
        <f t="shared" si="65"/>
        <v/>
      </c>
      <c r="Z93" s="16" t="str">
        <f t="shared" si="66"/>
        <v/>
      </c>
      <c r="AA93" s="14" t="str">
        <f t="shared" si="54"/>
        <v/>
      </c>
      <c r="AB93" s="15" t="str">
        <f t="shared" si="55"/>
        <v/>
      </c>
      <c r="AC93" s="15" t="str">
        <f t="shared" si="56"/>
        <v/>
      </c>
      <c r="AD93" s="16" t="str">
        <f t="shared" si="57"/>
        <v/>
      </c>
      <c r="AE93" s="14" t="str">
        <f t="shared" si="58"/>
        <v/>
      </c>
      <c r="AF93" s="15" t="str">
        <f t="shared" si="59"/>
        <v/>
      </c>
      <c r="AG93" s="15" t="str">
        <f t="shared" si="60"/>
        <v/>
      </c>
      <c r="AH93" s="32" t="str">
        <f t="shared" si="61"/>
        <v/>
      </c>
    </row>
    <row r="94" spans="1:34" x14ac:dyDescent="0.25">
      <c r="A94" s="54"/>
      <c r="B94" s="13"/>
      <c r="C94" s="9"/>
      <c r="D94" s="13"/>
      <c r="E94" s="20" t="str">
        <f t="shared" si="45"/>
        <v/>
      </c>
      <c r="F94" s="3" t="str">
        <f t="shared" si="46"/>
        <v/>
      </c>
      <c r="G94" s="22" t="str">
        <f t="shared" si="47"/>
        <v/>
      </c>
      <c r="I94" s="41" t="str">
        <f t="shared" si="48"/>
        <v/>
      </c>
      <c r="K94" s="45" t="str">
        <f t="shared" si="49"/>
        <v/>
      </c>
      <c r="M94" s="47" t="str">
        <f t="shared" si="50"/>
        <v/>
      </c>
      <c r="O94" s="50" t="str">
        <f t="shared" si="51"/>
        <v/>
      </c>
      <c r="Q94" s="26" t="str">
        <f t="shared" si="52"/>
        <v/>
      </c>
      <c r="R94" s="11" t="str">
        <f t="shared" si="62"/>
        <v/>
      </c>
      <c r="S94" s="11" t="str">
        <f t="shared" si="53"/>
        <v/>
      </c>
      <c r="T94" s="11" t="str">
        <f t="shared" si="67"/>
        <v/>
      </c>
      <c r="W94" s="31" t="str">
        <f t="shared" si="63"/>
        <v/>
      </c>
      <c r="X94" s="15" t="str">
        <f t="shared" si="64"/>
        <v/>
      </c>
      <c r="Y94" s="15" t="str">
        <f t="shared" si="65"/>
        <v/>
      </c>
      <c r="Z94" s="16" t="str">
        <f t="shared" si="66"/>
        <v/>
      </c>
      <c r="AA94" s="14" t="str">
        <f t="shared" si="54"/>
        <v/>
      </c>
      <c r="AB94" s="15" t="str">
        <f t="shared" si="55"/>
        <v/>
      </c>
      <c r="AC94" s="15" t="str">
        <f t="shared" si="56"/>
        <v/>
      </c>
      <c r="AD94" s="16" t="str">
        <f t="shared" si="57"/>
        <v/>
      </c>
      <c r="AE94" s="14" t="str">
        <f t="shared" si="58"/>
        <v/>
      </c>
      <c r="AF94" s="15" t="str">
        <f t="shared" si="59"/>
        <v/>
      </c>
      <c r="AG94" s="15" t="str">
        <f t="shared" si="60"/>
        <v/>
      </c>
      <c r="AH94" s="32" t="str">
        <f t="shared" si="61"/>
        <v/>
      </c>
    </row>
    <row r="95" spans="1:34" x14ac:dyDescent="0.25">
      <c r="A95" s="54"/>
      <c r="B95" s="13"/>
      <c r="C95" s="9"/>
      <c r="D95" s="13"/>
      <c r="E95" s="20" t="str">
        <f t="shared" si="45"/>
        <v/>
      </c>
      <c r="F95" s="3" t="str">
        <f t="shared" si="46"/>
        <v/>
      </c>
      <c r="G95" s="22" t="str">
        <f t="shared" si="47"/>
        <v/>
      </c>
      <c r="I95" s="41" t="str">
        <f t="shared" si="48"/>
        <v/>
      </c>
      <c r="K95" s="45" t="str">
        <f t="shared" si="49"/>
        <v/>
      </c>
      <c r="M95" s="47" t="str">
        <f t="shared" si="50"/>
        <v/>
      </c>
      <c r="O95" s="50" t="str">
        <f t="shared" si="51"/>
        <v/>
      </c>
      <c r="Q95" s="26" t="str">
        <f t="shared" si="52"/>
        <v/>
      </c>
      <c r="R95" s="11" t="str">
        <f t="shared" si="62"/>
        <v/>
      </c>
      <c r="S95" s="11" t="str">
        <f t="shared" si="53"/>
        <v/>
      </c>
      <c r="T95" s="11" t="str">
        <f t="shared" si="67"/>
        <v/>
      </c>
      <c r="W95" s="31" t="str">
        <f t="shared" si="63"/>
        <v/>
      </c>
      <c r="X95" s="15" t="str">
        <f t="shared" si="64"/>
        <v/>
      </c>
      <c r="Y95" s="15" t="str">
        <f t="shared" si="65"/>
        <v/>
      </c>
      <c r="Z95" s="16" t="str">
        <f t="shared" si="66"/>
        <v/>
      </c>
      <c r="AA95" s="14" t="str">
        <f t="shared" si="54"/>
        <v/>
      </c>
      <c r="AB95" s="15" t="str">
        <f t="shared" si="55"/>
        <v/>
      </c>
      <c r="AC95" s="15" t="str">
        <f t="shared" si="56"/>
        <v/>
      </c>
      <c r="AD95" s="16" t="str">
        <f t="shared" si="57"/>
        <v/>
      </c>
      <c r="AE95" s="14" t="str">
        <f t="shared" si="58"/>
        <v/>
      </c>
      <c r="AF95" s="15" t="str">
        <f t="shared" si="59"/>
        <v/>
      </c>
      <c r="AG95" s="15" t="str">
        <f t="shared" si="60"/>
        <v/>
      </c>
      <c r="AH95" s="32" t="str">
        <f t="shared" si="61"/>
        <v/>
      </c>
    </row>
    <row r="96" spans="1:34" x14ac:dyDescent="0.25">
      <c r="A96" s="54"/>
      <c r="B96" s="13"/>
      <c r="C96" s="9"/>
      <c r="D96" s="13"/>
      <c r="E96" s="20" t="str">
        <f t="shared" si="45"/>
        <v/>
      </c>
      <c r="F96" s="3" t="str">
        <f t="shared" si="46"/>
        <v/>
      </c>
      <c r="G96" s="22" t="str">
        <f t="shared" si="47"/>
        <v/>
      </c>
      <c r="I96" s="41" t="str">
        <f t="shared" si="48"/>
        <v/>
      </c>
      <c r="K96" s="45" t="str">
        <f t="shared" si="49"/>
        <v/>
      </c>
      <c r="M96" s="47" t="str">
        <f t="shared" si="50"/>
        <v/>
      </c>
      <c r="O96" s="50" t="str">
        <f t="shared" si="51"/>
        <v/>
      </c>
      <c r="Q96" s="26" t="str">
        <f t="shared" si="52"/>
        <v/>
      </c>
      <c r="R96" s="11" t="str">
        <f t="shared" si="62"/>
        <v/>
      </c>
      <c r="S96" s="11" t="str">
        <f t="shared" si="53"/>
        <v/>
      </c>
      <c r="T96" s="11" t="str">
        <f t="shared" si="67"/>
        <v/>
      </c>
      <c r="W96" s="31" t="str">
        <f t="shared" si="63"/>
        <v/>
      </c>
      <c r="X96" s="15" t="str">
        <f t="shared" si="64"/>
        <v/>
      </c>
      <c r="Y96" s="15" t="str">
        <f t="shared" si="65"/>
        <v/>
      </c>
      <c r="Z96" s="16" t="str">
        <f t="shared" si="66"/>
        <v/>
      </c>
      <c r="AA96" s="14" t="str">
        <f t="shared" si="54"/>
        <v/>
      </c>
      <c r="AB96" s="15" t="str">
        <f t="shared" si="55"/>
        <v/>
      </c>
      <c r="AC96" s="15" t="str">
        <f t="shared" si="56"/>
        <v/>
      </c>
      <c r="AD96" s="16" t="str">
        <f t="shared" si="57"/>
        <v/>
      </c>
      <c r="AE96" s="14" t="str">
        <f t="shared" si="58"/>
        <v/>
      </c>
      <c r="AF96" s="15" t="str">
        <f t="shared" si="59"/>
        <v/>
      </c>
      <c r="AG96" s="15" t="str">
        <f t="shared" si="60"/>
        <v/>
      </c>
      <c r="AH96" s="32" t="str">
        <f t="shared" si="61"/>
        <v/>
      </c>
    </row>
    <row r="97" spans="1:34" x14ac:dyDescent="0.25">
      <c r="A97" s="54"/>
      <c r="B97" s="13"/>
      <c r="C97" s="9"/>
      <c r="D97" s="13"/>
      <c r="E97" s="20" t="str">
        <f t="shared" si="45"/>
        <v/>
      </c>
      <c r="F97" s="3" t="str">
        <f t="shared" si="46"/>
        <v/>
      </c>
      <c r="G97" s="22" t="str">
        <f t="shared" si="47"/>
        <v/>
      </c>
      <c r="I97" s="41" t="str">
        <f t="shared" si="48"/>
        <v/>
      </c>
      <c r="K97" s="45" t="str">
        <f t="shared" si="49"/>
        <v/>
      </c>
      <c r="M97" s="47" t="str">
        <f t="shared" si="50"/>
        <v/>
      </c>
      <c r="O97" s="50" t="str">
        <f t="shared" si="51"/>
        <v/>
      </c>
      <c r="Q97" s="26" t="str">
        <f t="shared" si="52"/>
        <v/>
      </c>
      <c r="R97" s="11" t="str">
        <f t="shared" si="62"/>
        <v/>
      </c>
      <c r="S97" s="11" t="str">
        <f t="shared" si="53"/>
        <v/>
      </c>
      <c r="T97" s="11" t="str">
        <f t="shared" si="67"/>
        <v/>
      </c>
      <c r="W97" s="31" t="str">
        <f t="shared" si="63"/>
        <v/>
      </c>
      <c r="X97" s="15" t="str">
        <f t="shared" si="64"/>
        <v/>
      </c>
      <c r="Y97" s="15" t="str">
        <f t="shared" si="65"/>
        <v/>
      </c>
      <c r="Z97" s="16" t="str">
        <f t="shared" si="66"/>
        <v/>
      </c>
      <c r="AA97" s="14" t="str">
        <f t="shared" si="54"/>
        <v/>
      </c>
      <c r="AB97" s="15" t="str">
        <f t="shared" si="55"/>
        <v/>
      </c>
      <c r="AC97" s="15" t="str">
        <f t="shared" si="56"/>
        <v/>
      </c>
      <c r="AD97" s="16" t="str">
        <f t="shared" si="57"/>
        <v/>
      </c>
      <c r="AE97" s="14" t="str">
        <f t="shared" si="58"/>
        <v/>
      </c>
      <c r="AF97" s="15" t="str">
        <f t="shared" si="59"/>
        <v/>
      </c>
      <c r="AG97" s="15" t="str">
        <f t="shared" si="60"/>
        <v/>
      </c>
      <c r="AH97" s="32" t="str">
        <f t="shared" si="61"/>
        <v/>
      </c>
    </row>
    <row r="98" spans="1:34" x14ac:dyDescent="0.25">
      <c r="A98" s="54"/>
      <c r="B98" s="13"/>
      <c r="C98" s="9"/>
      <c r="D98" s="13"/>
      <c r="E98" s="20" t="str">
        <f t="shared" si="45"/>
        <v/>
      </c>
      <c r="F98" s="3" t="str">
        <f t="shared" si="46"/>
        <v/>
      </c>
      <c r="G98" s="22" t="str">
        <f t="shared" si="47"/>
        <v/>
      </c>
      <c r="I98" s="41" t="str">
        <f t="shared" si="48"/>
        <v/>
      </c>
      <c r="K98" s="45" t="str">
        <f t="shared" si="49"/>
        <v/>
      </c>
      <c r="M98" s="47" t="str">
        <f t="shared" si="50"/>
        <v/>
      </c>
      <c r="O98" s="50" t="str">
        <f t="shared" si="51"/>
        <v/>
      </c>
      <c r="Q98" s="26" t="str">
        <f t="shared" si="52"/>
        <v/>
      </c>
      <c r="R98" s="11" t="str">
        <f t="shared" si="62"/>
        <v/>
      </c>
      <c r="S98" s="11" t="str">
        <f t="shared" si="53"/>
        <v/>
      </c>
      <c r="T98" s="11" t="str">
        <f t="shared" si="67"/>
        <v/>
      </c>
      <c r="W98" s="31" t="str">
        <f t="shared" si="63"/>
        <v/>
      </c>
      <c r="X98" s="15" t="str">
        <f t="shared" si="64"/>
        <v/>
      </c>
      <c r="Y98" s="15" t="str">
        <f t="shared" si="65"/>
        <v/>
      </c>
      <c r="Z98" s="16" t="str">
        <f t="shared" si="66"/>
        <v/>
      </c>
      <c r="AA98" s="14" t="str">
        <f t="shared" si="54"/>
        <v/>
      </c>
      <c r="AB98" s="15" t="str">
        <f t="shared" si="55"/>
        <v/>
      </c>
      <c r="AC98" s="15" t="str">
        <f t="shared" si="56"/>
        <v/>
      </c>
      <c r="AD98" s="16" t="str">
        <f t="shared" si="57"/>
        <v/>
      </c>
      <c r="AE98" s="14" t="str">
        <f t="shared" si="58"/>
        <v/>
      </c>
      <c r="AF98" s="15" t="str">
        <f t="shared" si="59"/>
        <v/>
      </c>
      <c r="AG98" s="15" t="str">
        <f t="shared" si="60"/>
        <v/>
      </c>
      <c r="AH98" s="32" t="str">
        <f t="shared" si="61"/>
        <v/>
      </c>
    </row>
    <row r="99" spans="1:34" x14ac:dyDescent="0.25">
      <c r="A99" s="54"/>
      <c r="B99" s="13"/>
      <c r="C99" s="9"/>
      <c r="D99" s="13"/>
      <c r="E99" s="20" t="str">
        <f t="shared" si="45"/>
        <v/>
      </c>
      <c r="F99" s="3" t="str">
        <f t="shared" si="46"/>
        <v/>
      </c>
      <c r="G99" s="22" t="str">
        <f t="shared" si="47"/>
        <v/>
      </c>
      <c r="I99" s="41" t="str">
        <f t="shared" si="48"/>
        <v/>
      </c>
      <c r="K99" s="45" t="str">
        <f t="shared" si="49"/>
        <v/>
      </c>
      <c r="M99" s="47" t="str">
        <f t="shared" si="50"/>
        <v/>
      </c>
      <c r="O99" s="50" t="str">
        <f t="shared" si="51"/>
        <v/>
      </c>
      <c r="Q99" s="26" t="str">
        <f t="shared" si="52"/>
        <v/>
      </c>
      <c r="R99" s="11" t="str">
        <f t="shared" si="62"/>
        <v/>
      </c>
      <c r="S99" s="11" t="str">
        <f t="shared" si="53"/>
        <v/>
      </c>
      <c r="T99" s="11" t="str">
        <f t="shared" si="67"/>
        <v/>
      </c>
      <c r="W99" s="31" t="str">
        <f t="shared" si="63"/>
        <v/>
      </c>
      <c r="X99" s="15" t="str">
        <f t="shared" si="64"/>
        <v/>
      </c>
      <c r="Y99" s="15" t="str">
        <f t="shared" si="65"/>
        <v/>
      </c>
      <c r="Z99" s="16" t="str">
        <f t="shared" si="66"/>
        <v/>
      </c>
      <c r="AA99" s="14" t="str">
        <f t="shared" si="54"/>
        <v/>
      </c>
      <c r="AB99" s="15" t="str">
        <f t="shared" si="55"/>
        <v/>
      </c>
      <c r="AC99" s="15" t="str">
        <f t="shared" si="56"/>
        <v/>
      </c>
      <c r="AD99" s="16" t="str">
        <f t="shared" si="57"/>
        <v/>
      </c>
      <c r="AE99" s="14" t="str">
        <f t="shared" si="58"/>
        <v/>
      </c>
      <c r="AF99" s="15" t="str">
        <f t="shared" si="59"/>
        <v/>
      </c>
      <c r="AG99" s="15" t="str">
        <f t="shared" si="60"/>
        <v/>
      </c>
      <c r="AH99" s="32" t="str">
        <f t="shared" si="61"/>
        <v/>
      </c>
    </row>
    <row r="100" spans="1:34" x14ac:dyDescent="0.25">
      <c r="A100" s="54"/>
      <c r="B100" s="13"/>
      <c r="C100" s="9"/>
      <c r="D100" s="13"/>
      <c r="E100" s="20" t="str">
        <f t="shared" si="45"/>
        <v/>
      </c>
      <c r="F100" s="3" t="str">
        <f t="shared" si="46"/>
        <v/>
      </c>
      <c r="G100" s="22" t="str">
        <f t="shared" si="47"/>
        <v/>
      </c>
      <c r="I100" s="41" t="str">
        <f t="shared" si="48"/>
        <v/>
      </c>
      <c r="K100" s="45" t="str">
        <f t="shared" si="49"/>
        <v/>
      </c>
      <c r="M100" s="47" t="str">
        <f t="shared" si="50"/>
        <v/>
      </c>
      <c r="O100" s="50" t="str">
        <f t="shared" si="51"/>
        <v/>
      </c>
      <c r="Q100" s="26" t="str">
        <f t="shared" si="52"/>
        <v/>
      </c>
      <c r="R100" s="11" t="str">
        <f t="shared" si="62"/>
        <v/>
      </c>
      <c r="S100" s="11" t="str">
        <f t="shared" si="53"/>
        <v/>
      </c>
      <c r="T100" s="11" t="str">
        <f t="shared" si="67"/>
        <v/>
      </c>
      <c r="W100" s="31" t="str">
        <f t="shared" si="63"/>
        <v/>
      </c>
      <c r="X100" s="15" t="str">
        <f t="shared" si="64"/>
        <v/>
      </c>
      <c r="Y100" s="15" t="str">
        <f t="shared" si="65"/>
        <v/>
      </c>
      <c r="Z100" s="16" t="str">
        <f t="shared" si="66"/>
        <v/>
      </c>
      <c r="AA100" s="14" t="str">
        <f t="shared" si="54"/>
        <v/>
      </c>
      <c r="AB100" s="15" t="str">
        <f t="shared" si="55"/>
        <v/>
      </c>
      <c r="AC100" s="15" t="str">
        <f t="shared" si="56"/>
        <v/>
      </c>
      <c r="AD100" s="16" t="str">
        <f t="shared" si="57"/>
        <v/>
      </c>
      <c r="AE100" s="14" t="str">
        <f t="shared" si="58"/>
        <v/>
      </c>
      <c r="AF100" s="15" t="str">
        <f t="shared" si="59"/>
        <v/>
      </c>
      <c r="AG100" s="15" t="str">
        <f t="shared" si="60"/>
        <v/>
      </c>
      <c r="AH100" s="32" t="str">
        <f t="shared" si="61"/>
        <v/>
      </c>
    </row>
    <row r="101" spans="1:34" x14ac:dyDescent="0.25">
      <c r="A101" s="54"/>
      <c r="B101" s="13"/>
      <c r="C101" s="9"/>
      <c r="D101" s="13"/>
      <c r="E101" s="20" t="str">
        <f t="shared" ref="E101:E125" si="68">IF(OR($T101="",$D101=""),"",IF($D101&gt;$B101,"INVALID Value! Max: " &amp; $B101,$AE101 &amp; "." &amp; $AF101 &amp; "." &amp;$AG101&amp;"."&amp;$AH101))</f>
        <v/>
      </c>
      <c r="F101" s="3" t="str">
        <f t="shared" ref="F101:F125" si="69">IF(T101="","",IF(OR(_xlfn.DECIMAL($W101,10)&gt;255,OR(_xlfn.DECIMAL($X101,10)&gt;255,OR(_xlfn.DECIMAL($Y101,10)&gt;255,_xlfn.DECIMAL($Z101,10)&gt;255))),"INVALID NETWORK!",""))</f>
        <v/>
      </c>
      <c r="G101" s="22" t="str">
        <f t="shared" ref="G101:G125" si="70">IF($T101="","",$W101 &amp; "." &amp; $X101 &amp; "." &amp;$Y101&amp;"."&amp;$Z101)</f>
        <v/>
      </c>
      <c r="I101" s="41" t="str">
        <f t="shared" ref="I101:I125" si="71">IF($T101="","",$W101 &amp; "." &amp; $X101 &amp; "." &amp;$Y101&amp;"."&amp; $Z101+1)</f>
        <v/>
      </c>
      <c r="K101" s="45" t="str">
        <f t="shared" ref="K101:K125" si="72">IF($T101="","",$W101 &amp; "." &amp; $X101 &amp; "." &amp;$Y101&amp;"."&amp; $Z101+2)</f>
        <v/>
      </c>
      <c r="M101" s="47" t="str">
        <f t="shared" ref="M101:M125" si="73">IF($T101="","",$AA101 &amp; "." &amp; $AB101 &amp; "." &amp;$AC101&amp;"."&amp;$AD101)</f>
        <v/>
      </c>
      <c r="O101" s="50" t="str">
        <f t="shared" ref="O101:O125" si="74">IF($T101="","",IF($R101&gt;8,255 &amp; "." &amp; IF($R101&gt;16,255 &amp; "." &amp; IF($R101&gt;24,255 &amp; "." &amp; IF($R101&gt;24,BIN2DEC(REPT(1,$R101-24) &amp; REPT(0,32-$R101)),0),BIN2DEC(REPT(1,$R101-16) &amp; REPT(0,24-$R101)) &amp; ".0"),BIN2DEC(REPT(1,$R101-8) &amp; REPT(0,16-$R101)) &amp; ".0.0"),BIN2DEC(REPT(1,$R101-0) &amp; REPT(0,8-$R101)) &amp; ".0.0.0"))</f>
        <v/>
      </c>
      <c r="Q101" s="26" t="str">
        <f t="shared" ref="Q101:Q125" si="75">IF($T101="","",$AA101 &amp; "." &amp; $AB101 &amp; "." &amp;$AC101&amp;"."&amp;$AD101+1)</f>
        <v/>
      </c>
      <c r="R101" s="11" t="str">
        <f t="shared" si="62"/>
        <v/>
      </c>
      <c r="S101" s="11" t="str">
        <f t="shared" ref="S101:S125" si="76">IF($T101="","",IF(MOD($R101,8)=0,1,2^(8-MOD($R101,8))))</f>
        <v/>
      </c>
      <c r="T101" s="11" t="str">
        <f t="shared" si="67"/>
        <v/>
      </c>
      <c r="W101" s="31" t="str">
        <f t="shared" si="63"/>
        <v/>
      </c>
      <c r="X101" s="15" t="str">
        <f t="shared" si="64"/>
        <v/>
      </c>
      <c r="Y101" s="15" t="str">
        <f t="shared" si="65"/>
        <v/>
      </c>
      <c r="Z101" s="16" t="str">
        <f t="shared" si="66"/>
        <v/>
      </c>
      <c r="AA101" s="14" t="str">
        <f t="shared" ref="AA101:AA125" si="77">IF($T101="","",MOD($W101+FLOOR(((2^(32-$R101))+((256^2)*$X101)-2)/(256^3),1),256))</f>
        <v/>
      </c>
      <c r="AB101" s="15" t="str">
        <f t="shared" ref="AB101:AB125" si="78">IF($T101="","",MOD($X101+FLOOR(((2^(32-$R101))+(256*$Y101)-2)/(256^2),1),256))</f>
        <v/>
      </c>
      <c r="AC101" s="15" t="str">
        <f t="shared" ref="AC101:AC125" si="79">IF($T101="","",MOD($Y101+FLOOR(((2^(32-$R101))+$Z101-2)/256,1),256))</f>
        <v/>
      </c>
      <c r="AD101" s="16" t="str">
        <f t="shared" ref="AD101:AD125" si="80">IF($T101="","",MOD($Z101+2^(32-$R101)-2,256))</f>
        <v/>
      </c>
      <c r="AE101" s="14" t="str">
        <f t="shared" ref="AE101:AE125" si="81">IF($D101="","",MOD($W101+FLOOR(($D101+1)/(256^3),1),256))</f>
        <v/>
      </c>
      <c r="AF101" s="15" t="str">
        <f t="shared" ref="AF101:AF125" si="82">IF($D101="","",MOD($X101+FLOOR(($D101+1)/(256^2),1),256))</f>
        <v/>
      </c>
      <c r="AG101" s="15" t="str">
        <f t="shared" ref="AG101:AG125" si="83">IF($D101="","",MOD($Y101+FLOOR(($D101+1)/256,1),256))</f>
        <v/>
      </c>
      <c r="AH101" s="32" t="str">
        <f t="shared" ref="AH101:AH125" si="84">IF($D101="","",MOD($Z101+$D101+1,256))</f>
        <v/>
      </c>
    </row>
    <row r="102" spans="1:34" x14ac:dyDescent="0.25">
      <c r="A102" s="54"/>
      <c r="B102" s="13"/>
      <c r="C102" s="9"/>
      <c r="D102" s="13"/>
      <c r="E102" s="20" t="str">
        <f t="shared" si="68"/>
        <v/>
      </c>
      <c r="F102" s="3" t="str">
        <f t="shared" si="69"/>
        <v/>
      </c>
      <c r="G102" s="22" t="str">
        <f t="shared" si="70"/>
        <v/>
      </c>
      <c r="I102" s="41" t="str">
        <f t="shared" si="71"/>
        <v/>
      </c>
      <c r="K102" s="45" t="str">
        <f t="shared" si="72"/>
        <v/>
      </c>
      <c r="M102" s="47" t="str">
        <f t="shared" si="73"/>
        <v/>
      </c>
      <c r="O102" s="50" t="str">
        <f t="shared" si="74"/>
        <v/>
      </c>
      <c r="Q102" s="26" t="str">
        <f t="shared" si="75"/>
        <v/>
      </c>
      <c r="R102" s="11" t="str">
        <f t="shared" si="62"/>
        <v/>
      </c>
      <c r="S102" s="11" t="str">
        <f t="shared" si="76"/>
        <v/>
      </c>
      <c r="T102" s="11" t="str">
        <f t="shared" si="67"/>
        <v/>
      </c>
      <c r="W102" s="31" t="str">
        <f t="shared" ref="W102:W125" si="85">IF($T102="","",MOD($W101+FLOOR(((2^(32-$R101))+((256^2)*$X101))/(256^3),1),256))</f>
        <v/>
      </c>
      <c r="X102" s="15" t="str">
        <f t="shared" ref="X102:X125" si="86">IF($T102="","",MOD($X101+FLOOR(((2^(32-$R101))+(256*$Y101))/(256^2),1),256))</f>
        <v/>
      </c>
      <c r="Y102" s="15" t="str">
        <f t="shared" ref="Y102:Y125" si="87">IF($T102="","",MOD($Y101+FLOOR(((2^(32-$R101))+$Z101)/256,1),256))</f>
        <v/>
      </c>
      <c r="Z102" s="16" t="str">
        <f t="shared" ref="Z102:Z125" si="88">IF($T102="","",MOD($Z101+2^(32-$R101),256))</f>
        <v/>
      </c>
      <c r="AA102" s="14" t="str">
        <f t="shared" si="77"/>
        <v/>
      </c>
      <c r="AB102" s="15" t="str">
        <f t="shared" si="78"/>
        <v/>
      </c>
      <c r="AC102" s="15" t="str">
        <f t="shared" si="79"/>
        <v/>
      </c>
      <c r="AD102" s="16" t="str">
        <f t="shared" si="80"/>
        <v/>
      </c>
      <c r="AE102" s="14" t="str">
        <f t="shared" si="81"/>
        <v/>
      </c>
      <c r="AF102" s="15" t="str">
        <f t="shared" si="82"/>
        <v/>
      </c>
      <c r="AG102" s="15" t="str">
        <f t="shared" si="83"/>
        <v/>
      </c>
      <c r="AH102" s="32" t="str">
        <f t="shared" si="84"/>
        <v/>
      </c>
    </row>
    <row r="103" spans="1:34" x14ac:dyDescent="0.25">
      <c r="A103" s="54"/>
      <c r="B103" s="13"/>
      <c r="C103" s="9"/>
      <c r="D103" s="13"/>
      <c r="E103" s="20" t="str">
        <f t="shared" si="68"/>
        <v/>
      </c>
      <c r="F103" s="3" t="str">
        <f t="shared" si="69"/>
        <v/>
      </c>
      <c r="G103" s="22" t="str">
        <f t="shared" si="70"/>
        <v/>
      </c>
      <c r="I103" s="41" t="str">
        <f t="shared" si="71"/>
        <v/>
      </c>
      <c r="K103" s="45" t="str">
        <f t="shared" si="72"/>
        <v/>
      </c>
      <c r="M103" s="47" t="str">
        <f t="shared" si="73"/>
        <v/>
      </c>
      <c r="O103" s="50" t="str">
        <f t="shared" si="74"/>
        <v/>
      </c>
      <c r="Q103" s="26" t="str">
        <f t="shared" si="75"/>
        <v/>
      </c>
      <c r="R103" s="11" t="str">
        <f t="shared" si="62"/>
        <v/>
      </c>
      <c r="S103" s="11" t="str">
        <f t="shared" si="76"/>
        <v/>
      </c>
      <c r="T103" s="11" t="str">
        <f t="shared" si="67"/>
        <v/>
      </c>
      <c r="W103" s="31" t="str">
        <f t="shared" si="85"/>
        <v/>
      </c>
      <c r="X103" s="15" t="str">
        <f t="shared" si="86"/>
        <v/>
      </c>
      <c r="Y103" s="15" t="str">
        <f t="shared" si="87"/>
        <v/>
      </c>
      <c r="Z103" s="16" t="str">
        <f t="shared" si="88"/>
        <v/>
      </c>
      <c r="AA103" s="14" t="str">
        <f t="shared" si="77"/>
        <v/>
      </c>
      <c r="AB103" s="15" t="str">
        <f t="shared" si="78"/>
        <v/>
      </c>
      <c r="AC103" s="15" t="str">
        <f t="shared" si="79"/>
        <v/>
      </c>
      <c r="AD103" s="16" t="str">
        <f t="shared" si="80"/>
        <v/>
      </c>
      <c r="AE103" s="14" t="str">
        <f t="shared" si="81"/>
        <v/>
      </c>
      <c r="AF103" s="15" t="str">
        <f t="shared" si="82"/>
        <v/>
      </c>
      <c r="AG103" s="15" t="str">
        <f t="shared" si="83"/>
        <v/>
      </c>
      <c r="AH103" s="32" t="str">
        <f t="shared" si="84"/>
        <v/>
      </c>
    </row>
    <row r="104" spans="1:34" x14ac:dyDescent="0.25">
      <c r="A104" s="54"/>
      <c r="B104" s="13"/>
      <c r="C104" s="9"/>
      <c r="D104" s="13"/>
      <c r="E104" s="20" t="str">
        <f t="shared" si="68"/>
        <v/>
      </c>
      <c r="F104" s="3" t="str">
        <f t="shared" si="69"/>
        <v/>
      </c>
      <c r="G104" s="22" t="str">
        <f t="shared" si="70"/>
        <v/>
      </c>
      <c r="I104" s="41" t="str">
        <f t="shared" si="71"/>
        <v/>
      </c>
      <c r="K104" s="45" t="str">
        <f t="shared" si="72"/>
        <v/>
      </c>
      <c r="M104" s="47" t="str">
        <f t="shared" si="73"/>
        <v/>
      </c>
      <c r="O104" s="50" t="str">
        <f t="shared" si="74"/>
        <v/>
      </c>
      <c r="Q104" s="26" t="str">
        <f t="shared" si="75"/>
        <v/>
      </c>
      <c r="R104" s="11" t="str">
        <f t="shared" si="62"/>
        <v/>
      </c>
      <c r="S104" s="11" t="str">
        <f t="shared" si="76"/>
        <v/>
      </c>
      <c r="T104" s="11" t="str">
        <f t="shared" si="67"/>
        <v/>
      </c>
      <c r="W104" s="31" t="str">
        <f t="shared" si="85"/>
        <v/>
      </c>
      <c r="X104" s="15" t="str">
        <f t="shared" si="86"/>
        <v/>
      </c>
      <c r="Y104" s="15" t="str">
        <f t="shared" si="87"/>
        <v/>
      </c>
      <c r="Z104" s="16" t="str">
        <f t="shared" si="88"/>
        <v/>
      </c>
      <c r="AA104" s="14" t="str">
        <f t="shared" si="77"/>
        <v/>
      </c>
      <c r="AB104" s="15" t="str">
        <f t="shared" si="78"/>
        <v/>
      </c>
      <c r="AC104" s="15" t="str">
        <f t="shared" si="79"/>
        <v/>
      </c>
      <c r="AD104" s="16" t="str">
        <f t="shared" si="80"/>
        <v/>
      </c>
      <c r="AE104" s="14" t="str">
        <f t="shared" si="81"/>
        <v/>
      </c>
      <c r="AF104" s="15" t="str">
        <f t="shared" si="82"/>
        <v/>
      </c>
      <c r="AG104" s="15" t="str">
        <f t="shared" si="83"/>
        <v/>
      </c>
      <c r="AH104" s="32" t="str">
        <f t="shared" si="84"/>
        <v/>
      </c>
    </row>
    <row r="105" spans="1:34" x14ac:dyDescent="0.25">
      <c r="A105" s="54"/>
      <c r="B105" s="13"/>
      <c r="C105" s="9"/>
      <c r="D105" s="13"/>
      <c r="E105" s="20" t="str">
        <f t="shared" si="68"/>
        <v/>
      </c>
      <c r="F105" s="3" t="str">
        <f t="shared" si="69"/>
        <v/>
      </c>
      <c r="G105" s="22" t="str">
        <f t="shared" si="70"/>
        <v/>
      </c>
      <c r="I105" s="41" t="str">
        <f t="shared" si="71"/>
        <v/>
      </c>
      <c r="K105" s="45" t="str">
        <f t="shared" si="72"/>
        <v/>
      </c>
      <c r="M105" s="47" t="str">
        <f t="shared" si="73"/>
        <v/>
      </c>
      <c r="O105" s="50" t="str">
        <f t="shared" si="74"/>
        <v/>
      </c>
      <c r="Q105" s="26" t="str">
        <f t="shared" si="75"/>
        <v/>
      </c>
      <c r="R105" s="11" t="str">
        <f t="shared" si="62"/>
        <v/>
      </c>
      <c r="S105" s="11" t="str">
        <f t="shared" si="76"/>
        <v/>
      </c>
      <c r="T105" s="11" t="str">
        <f t="shared" si="67"/>
        <v/>
      </c>
      <c r="W105" s="31" t="str">
        <f t="shared" si="85"/>
        <v/>
      </c>
      <c r="X105" s="15" t="str">
        <f t="shared" si="86"/>
        <v/>
      </c>
      <c r="Y105" s="15" t="str">
        <f t="shared" si="87"/>
        <v/>
      </c>
      <c r="Z105" s="16" t="str">
        <f t="shared" si="88"/>
        <v/>
      </c>
      <c r="AA105" s="14" t="str">
        <f t="shared" si="77"/>
        <v/>
      </c>
      <c r="AB105" s="15" t="str">
        <f t="shared" si="78"/>
        <v/>
      </c>
      <c r="AC105" s="15" t="str">
        <f t="shared" si="79"/>
        <v/>
      </c>
      <c r="AD105" s="16" t="str">
        <f t="shared" si="80"/>
        <v/>
      </c>
      <c r="AE105" s="14" t="str">
        <f t="shared" si="81"/>
        <v/>
      </c>
      <c r="AF105" s="15" t="str">
        <f t="shared" si="82"/>
        <v/>
      </c>
      <c r="AG105" s="15" t="str">
        <f t="shared" si="83"/>
        <v/>
      </c>
      <c r="AH105" s="32" t="str">
        <f t="shared" si="84"/>
        <v/>
      </c>
    </row>
    <row r="106" spans="1:34" x14ac:dyDescent="0.25">
      <c r="A106" s="54"/>
      <c r="B106" s="13"/>
      <c r="C106" s="9"/>
      <c r="D106" s="13"/>
      <c r="E106" s="20" t="str">
        <f t="shared" si="68"/>
        <v/>
      </c>
      <c r="F106" s="3" t="str">
        <f t="shared" si="69"/>
        <v/>
      </c>
      <c r="G106" s="22" t="str">
        <f t="shared" si="70"/>
        <v/>
      </c>
      <c r="I106" s="41" t="str">
        <f t="shared" si="71"/>
        <v/>
      </c>
      <c r="K106" s="45" t="str">
        <f t="shared" si="72"/>
        <v/>
      </c>
      <c r="M106" s="47" t="str">
        <f t="shared" si="73"/>
        <v/>
      </c>
      <c r="O106" s="50" t="str">
        <f t="shared" si="74"/>
        <v/>
      </c>
      <c r="Q106" s="26" t="str">
        <f t="shared" si="75"/>
        <v/>
      </c>
      <c r="R106" s="11" t="str">
        <f t="shared" si="62"/>
        <v/>
      </c>
      <c r="S106" s="11" t="str">
        <f t="shared" si="76"/>
        <v/>
      </c>
      <c r="T106" s="11" t="str">
        <f t="shared" si="67"/>
        <v/>
      </c>
      <c r="W106" s="31" t="str">
        <f t="shared" si="85"/>
        <v/>
      </c>
      <c r="X106" s="15" t="str">
        <f t="shared" si="86"/>
        <v/>
      </c>
      <c r="Y106" s="15" t="str">
        <f t="shared" si="87"/>
        <v/>
      </c>
      <c r="Z106" s="16" t="str">
        <f t="shared" si="88"/>
        <v/>
      </c>
      <c r="AA106" s="14" t="str">
        <f t="shared" si="77"/>
        <v/>
      </c>
      <c r="AB106" s="15" t="str">
        <f t="shared" si="78"/>
        <v/>
      </c>
      <c r="AC106" s="15" t="str">
        <f t="shared" si="79"/>
        <v/>
      </c>
      <c r="AD106" s="16" t="str">
        <f t="shared" si="80"/>
        <v/>
      </c>
      <c r="AE106" s="14" t="str">
        <f t="shared" si="81"/>
        <v/>
      </c>
      <c r="AF106" s="15" t="str">
        <f t="shared" si="82"/>
        <v/>
      </c>
      <c r="AG106" s="15" t="str">
        <f t="shared" si="83"/>
        <v/>
      </c>
      <c r="AH106" s="32" t="str">
        <f t="shared" si="84"/>
        <v/>
      </c>
    </row>
    <row r="107" spans="1:34" x14ac:dyDescent="0.25">
      <c r="A107" s="54"/>
      <c r="B107" s="13"/>
      <c r="C107" s="9"/>
      <c r="D107" s="13"/>
      <c r="E107" s="20" t="str">
        <f t="shared" si="68"/>
        <v/>
      </c>
      <c r="F107" s="3" t="str">
        <f t="shared" si="69"/>
        <v/>
      </c>
      <c r="G107" s="22" t="str">
        <f t="shared" si="70"/>
        <v/>
      </c>
      <c r="I107" s="41" t="str">
        <f t="shared" si="71"/>
        <v/>
      </c>
      <c r="K107" s="45" t="str">
        <f t="shared" si="72"/>
        <v/>
      </c>
      <c r="M107" s="47" t="str">
        <f t="shared" si="73"/>
        <v/>
      </c>
      <c r="O107" s="50" t="str">
        <f t="shared" si="74"/>
        <v/>
      </c>
      <c r="Q107" s="26" t="str">
        <f t="shared" si="75"/>
        <v/>
      </c>
      <c r="R107" s="11" t="str">
        <f t="shared" si="62"/>
        <v/>
      </c>
      <c r="S107" s="11" t="str">
        <f t="shared" si="76"/>
        <v/>
      </c>
      <c r="T107" s="11" t="str">
        <f t="shared" si="67"/>
        <v/>
      </c>
      <c r="W107" s="31" t="str">
        <f t="shared" si="85"/>
        <v/>
      </c>
      <c r="X107" s="15" t="str">
        <f t="shared" si="86"/>
        <v/>
      </c>
      <c r="Y107" s="15" t="str">
        <f t="shared" si="87"/>
        <v/>
      </c>
      <c r="Z107" s="16" t="str">
        <f t="shared" si="88"/>
        <v/>
      </c>
      <c r="AA107" s="14" t="str">
        <f t="shared" si="77"/>
        <v/>
      </c>
      <c r="AB107" s="15" t="str">
        <f t="shared" si="78"/>
        <v/>
      </c>
      <c r="AC107" s="15" t="str">
        <f t="shared" si="79"/>
        <v/>
      </c>
      <c r="AD107" s="16" t="str">
        <f t="shared" si="80"/>
        <v/>
      </c>
      <c r="AE107" s="14" t="str">
        <f t="shared" si="81"/>
        <v/>
      </c>
      <c r="AF107" s="15" t="str">
        <f t="shared" si="82"/>
        <v/>
      </c>
      <c r="AG107" s="15" t="str">
        <f t="shared" si="83"/>
        <v/>
      </c>
      <c r="AH107" s="32" t="str">
        <f t="shared" si="84"/>
        <v/>
      </c>
    </row>
    <row r="108" spans="1:34" x14ac:dyDescent="0.25">
      <c r="A108" s="54"/>
      <c r="B108" s="13"/>
      <c r="C108" s="9"/>
      <c r="D108" s="13"/>
      <c r="E108" s="20" t="str">
        <f t="shared" si="68"/>
        <v/>
      </c>
      <c r="F108" s="3" t="str">
        <f t="shared" si="69"/>
        <v/>
      </c>
      <c r="G108" s="22" t="str">
        <f t="shared" si="70"/>
        <v/>
      </c>
      <c r="I108" s="41" t="str">
        <f t="shared" si="71"/>
        <v/>
      </c>
      <c r="K108" s="45" t="str">
        <f t="shared" si="72"/>
        <v/>
      </c>
      <c r="M108" s="47" t="str">
        <f t="shared" si="73"/>
        <v/>
      </c>
      <c r="O108" s="50" t="str">
        <f t="shared" si="74"/>
        <v/>
      </c>
      <c r="Q108" s="26" t="str">
        <f t="shared" si="75"/>
        <v/>
      </c>
      <c r="R108" s="11" t="str">
        <f t="shared" si="62"/>
        <v/>
      </c>
      <c r="S108" s="11" t="str">
        <f t="shared" si="76"/>
        <v/>
      </c>
      <c r="T108" s="11" t="str">
        <f t="shared" si="67"/>
        <v/>
      </c>
      <c r="W108" s="31" t="str">
        <f t="shared" si="85"/>
        <v/>
      </c>
      <c r="X108" s="15" t="str">
        <f t="shared" si="86"/>
        <v/>
      </c>
      <c r="Y108" s="15" t="str">
        <f t="shared" si="87"/>
        <v/>
      </c>
      <c r="Z108" s="16" t="str">
        <f t="shared" si="88"/>
        <v/>
      </c>
      <c r="AA108" s="14" t="str">
        <f t="shared" si="77"/>
        <v/>
      </c>
      <c r="AB108" s="15" t="str">
        <f t="shared" si="78"/>
        <v/>
      </c>
      <c r="AC108" s="15" t="str">
        <f t="shared" si="79"/>
        <v/>
      </c>
      <c r="AD108" s="16" t="str">
        <f t="shared" si="80"/>
        <v/>
      </c>
      <c r="AE108" s="14" t="str">
        <f t="shared" si="81"/>
        <v/>
      </c>
      <c r="AF108" s="15" t="str">
        <f t="shared" si="82"/>
        <v/>
      </c>
      <c r="AG108" s="15" t="str">
        <f t="shared" si="83"/>
        <v/>
      </c>
      <c r="AH108" s="32" t="str">
        <f t="shared" si="84"/>
        <v/>
      </c>
    </row>
    <row r="109" spans="1:34" x14ac:dyDescent="0.25">
      <c r="A109" s="54"/>
      <c r="B109" s="13"/>
      <c r="C109" s="9"/>
      <c r="D109" s="13"/>
      <c r="E109" s="20" t="str">
        <f t="shared" si="68"/>
        <v/>
      </c>
      <c r="F109" s="3" t="str">
        <f t="shared" si="69"/>
        <v/>
      </c>
      <c r="G109" s="22" t="str">
        <f t="shared" si="70"/>
        <v/>
      </c>
      <c r="I109" s="41" t="str">
        <f t="shared" si="71"/>
        <v/>
      </c>
      <c r="K109" s="45" t="str">
        <f t="shared" si="72"/>
        <v/>
      </c>
      <c r="M109" s="47" t="str">
        <f t="shared" si="73"/>
        <v/>
      </c>
      <c r="O109" s="50" t="str">
        <f t="shared" si="74"/>
        <v/>
      </c>
      <c r="Q109" s="26" t="str">
        <f t="shared" si="75"/>
        <v/>
      </c>
      <c r="R109" s="11" t="str">
        <f t="shared" si="62"/>
        <v/>
      </c>
      <c r="S109" s="11" t="str">
        <f t="shared" si="76"/>
        <v/>
      </c>
      <c r="T109" s="11" t="str">
        <f t="shared" si="67"/>
        <v/>
      </c>
      <c r="W109" s="31" t="str">
        <f t="shared" si="85"/>
        <v/>
      </c>
      <c r="X109" s="15" t="str">
        <f t="shared" si="86"/>
        <v/>
      </c>
      <c r="Y109" s="15" t="str">
        <f t="shared" si="87"/>
        <v/>
      </c>
      <c r="Z109" s="16" t="str">
        <f t="shared" si="88"/>
        <v/>
      </c>
      <c r="AA109" s="14" t="str">
        <f t="shared" si="77"/>
        <v/>
      </c>
      <c r="AB109" s="15" t="str">
        <f t="shared" si="78"/>
        <v/>
      </c>
      <c r="AC109" s="15" t="str">
        <f t="shared" si="79"/>
        <v/>
      </c>
      <c r="AD109" s="16" t="str">
        <f t="shared" si="80"/>
        <v/>
      </c>
      <c r="AE109" s="14" t="str">
        <f t="shared" si="81"/>
        <v/>
      </c>
      <c r="AF109" s="15" t="str">
        <f t="shared" si="82"/>
        <v/>
      </c>
      <c r="AG109" s="15" t="str">
        <f t="shared" si="83"/>
        <v/>
      </c>
      <c r="AH109" s="32" t="str">
        <f t="shared" si="84"/>
        <v/>
      </c>
    </row>
    <row r="110" spans="1:34" x14ac:dyDescent="0.25">
      <c r="A110" s="54"/>
      <c r="B110" s="13"/>
      <c r="C110" s="9"/>
      <c r="D110" s="13"/>
      <c r="E110" s="20" t="str">
        <f t="shared" si="68"/>
        <v/>
      </c>
      <c r="F110" s="3" t="str">
        <f t="shared" si="69"/>
        <v/>
      </c>
      <c r="G110" s="22" t="str">
        <f t="shared" si="70"/>
        <v/>
      </c>
      <c r="I110" s="41" t="str">
        <f t="shared" si="71"/>
        <v/>
      </c>
      <c r="K110" s="45" t="str">
        <f t="shared" si="72"/>
        <v/>
      </c>
      <c r="M110" s="47" t="str">
        <f t="shared" si="73"/>
        <v/>
      </c>
      <c r="O110" s="50" t="str">
        <f t="shared" si="74"/>
        <v/>
      </c>
      <c r="Q110" s="26" t="str">
        <f t="shared" si="75"/>
        <v/>
      </c>
      <c r="R110" s="11" t="str">
        <f t="shared" si="62"/>
        <v/>
      </c>
      <c r="S110" s="11" t="str">
        <f t="shared" si="76"/>
        <v/>
      </c>
      <c r="T110" s="11" t="str">
        <f t="shared" si="67"/>
        <v/>
      </c>
      <c r="W110" s="31" t="str">
        <f t="shared" si="85"/>
        <v/>
      </c>
      <c r="X110" s="15" t="str">
        <f t="shared" si="86"/>
        <v/>
      </c>
      <c r="Y110" s="15" t="str">
        <f t="shared" si="87"/>
        <v/>
      </c>
      <c r="Z110" s="16" t="str">
        <f t="shared" si="88"/>
        <v/>
      </c>
      <c r="AA110" s="14" t="str">
        <f t="shared" si="77"/>
        <v/>
      </c>
      <c r="AB110" s="15" t="str">
        <f t="shared" si="78"/>
        <v/>
      </c>
      <c r="AC110" s="15" t="str">
        <f t="shared" si="79"/>
        <v/>
      </c>
      <c r="AD110" s="16" t="str">
        <f t="shared" si="80"/>
        <v/>
      </c>
      <c r="AE110" s="14" t="str">
        <f t="shared" si="81"/>
        <v/>
      </c>
      <c r="AF110" s="15" t="str">
        <f t="shared" si="82"/>
        <v/>
      </c>
      <c r="AG110" s="15" t="str">
        <f t="shared" si="83"/>
        <v/>
      </c>
      <c r="AH110" s="32" t="str">
        <f t="shared" si="84"/>
        <v/>
      </c>
    </row>
    <row r="111" spans="1:34" x14ac:dyDescent="0.25">
      <c r="A111" s="54"/>
      <c r="B111" s="13"/>
      <c r="C111" s="9"/>
      <c r="D111" s="13"/>
      <c r="E111" s="20" t="str">
        <f t="shared" si="68"/>
        <v/>
      </c>
      <c r="F111" s="3" t="str">
        <f t="shared" si="69"/>
        <v/>
      </c>
      <c r="G111" s="22" t="str">
        <f t="shared" si="70"/>
        <v/>
      </c>
      <c r="I111" s="41" t="str">
        <f t="shared" si="71"/>
        <v/>
      </c>
      <c r="K111" s="45" t="str">
        <f t="shared" si="72"/>
        <v/>
      </c>
      <c r="M111" s="47" t="str">
        <f t="shared" si="73"/>
        <v/>
      </c>
      <c r="O111" s="50" t="str">
        <f t="shared" si="74"/>
        <v/>
      </c>
      <c r="Q111" s="26" t="str">
        <f t="shared" si="75"/>
        <v/>
      </c>
      <c r="R111" s="11" t="str">
        <f t="shared" si="62"/>
        <v/>
      </c>
      <c r="S111" s="11" t="str">
        <f t="shared" si="76"/>
        <v/>
      </c>
      <c r="T111" s="11" t="str">
        <f t="shared" si="67"/>
        <v/>
      </c>
      <c r="W111" s="31" t="str">
        <f t="shared" si="85"/>
        <v/>
      </c>
      <c r="X111" s="15" t="str">
        <f t="shared" si="86"/>
        <v/>
      </c>
      <c r="Y111" s="15" t="str">
        <f t="shared" si="87"/>
        <v/>
      </c>
      <c r="Z111" s="16" t="str">
        <f t="shared" si="88"/>
        <v/>
      </c>
      <c r="AA111" s="14" t="str">
        <f t="shared" si="77"/>
        <v/>
      </c>
      <c r="AB111" s="15" t="str">
        <f t="shared" si="78"/>
        <v/>
      </c>
      <c r="AC111" s="15" t="str">
        <f t="shared" si="79"/>
        <v/>
      </c>
      <c r="AD111" s="16" t="str">
        <f t="shared" si="80"/>
        <v/>
      </c>
      <c r="AE111" s="14" t="str">
        <f t="shared" si="81"/>
        <v/>
      </c>
      <c r="AF111" s="15" t="str">
        <f t="shared" si="82"/>
        <v/>
      </c>
      <c r="AG111" s="15" t="str">
        <f t="shared" si="83"/>
        <v/>
      </c>
      <c r="AH111" s="32" t="str">
        <f t="shared" si="84"/>
        <v/>
      </c>
    </row>
    <row r="112" spans="1:34" x14ac:dyDescent="0.25">
      <c r="A112" s="54"/>
      <c r="B112" s="13"/>
      <c r="C112" s="9"/>
      <c r="D112" s="13"/>
      <c r="E112" s="20" t="str">
        <f t="shared" si="68"/>
        <v/>
      </c>
      <c r="F112" s="3" t="str">
        <f t="shared" si="69"/>
        <v/>
      </c>
      <c r="G112" s="22" t="str">
        <f t="shared" si="70"/>
        <v/>
      </c>
      <c r="I112" s="41" t="str">
        <f t="shared" si="71"/>
        <v/>
      </c>
      <c r="K112" s="45" t="str">
        <f t="shared" si="72"/>
        <v/>
      </c>
      <c r="M112" s="47" t="str">
        <f t="shared" si="73"/>
        <v/>
      </c>
      <c r="O112" s="50" t="str">
        <f t="shared" si="74"/>
        <v/>
      </c>
      <c r="Q112" s="26" t="str">
        <f t="shared" si="75"/>
        <v/>
      </c>
      <c r="R112" s="11" t="str">
        <f t="shared" si="62"/>
        <v/>
      </c>
      <c r="S112" s="11" t="str">
        <f t="shared" si="76"/>
        <v/>
      </c>
      <c r="T112" s="11" t="str">
        <f t="shared" si="67"/>
        <v/>
      </c>
      <c r="W112" s="31" t="str">
        <f t="shared" si="85"/>
        <v/>
      </c>
      <c r="X112" s="15" t="str">
        <f t="shared" si="86"/>
        <v/>
      </c>
      <c r="Y112" s="15" t="str">
        <f t="shared" si="87"/>
        <v/>
      </c>
      <c r="Z112" s="16" t="str">
        <f t="shared" si="88"/>
        <v/>
      </c>
      <c r="AA112" s="14" t="str">
        <f t="shared" si="77"/>
        <v/>
      </c>
      <c r="AB112" s="15" t="str">
        <f t="shared" si="78"/>
        <v/>
      </c>
      <c r="AC112" s="15" t="str">
        <f t="shared" si="79"/>
        <v/>
      </c>
      <c r="AD112" s="16" t="str">
        <f t="shared" si="80"/>
        <v/>
      </c>
      <c r="AE112" s="14" t="str">
        <f t="shared" si="81"/>
        <v/>
      </c>
      <c r="AF112" s="15" t="str">
        <f t="shared" si="82"/>
        <v/>
      </c>
      <c r="AG112" s="15" t="str">
        <f t="shared" si="83"/>
        <v/>
      </c>
      <c r="AH112" s="32" t="str">
        <f t="shared" si="84"/>
        <v/>
      </c>
    </row>
    <row r="113" spans="1:34" x14ac:dyDescent="0.25">
      <c r="A113" s="54"/>
      <c r="B113" s="13"/>
      <c r="C113" s="9"/>
      <c r="D113" s="13"/>
      <c r="E113" s="20" t="str">
        <f t="shared" si="68"/>
        <v/>
      </c>
      <c r="F113" s="3" t="str">
        <f t="shared" si="69"/>
        <v/>
      </c>
      <c r="G113" s="22" t="str">
        <f t="shared" si="70"/>
        <v/>
      </c>
      <c r="I113" s="41" t="str">
        <f t="shared" si="71"/>
        <v/>
      </c>
      <c r="K113" s="45" t="str">
        <f t="shared" si="72"/>
        <v/>
      </c>
      <c r="M113" s="47" t="str">
        <f t="shared" si="73"/>
        <v/>
      </c>
      <c r="O113" s="50" t="str">
        <f t="shared" si="74"/>
        <v/>
      </c>
      <c r="Q113" s="26" t="str">
        <f t="shared" si="75"/>
        <v/>
      </c>
      <c r="R113" s="11" t="str">
        <f t="shared" si="62"/>
        <v/>
      </c>
      <c r="S113" s="11" t="str">
        <f t="shared" si="76"/>
        <v/>
      </c>
      <c r="T113" s="11" t="str">
        <f t="shared" si="67"/>
        <v/>
      </c>
      <c r="W113" s="31" t="str">
        <f t="shared" si="85"/>
        <v/>
      </c>
      <c r="X113" s="15" t="str">
        <f t="shared" si="86"/>
        <v/>
      </c>
      <c r="Y113" s="15" t="str">
        <f t="shared" si="87"/>
        <v/>
      </c>
      <c r="Z113" s="16" t="str">
        <f t="shared" si="88"/>
        <v/>
      </c>
      <c r="AA113" s="14" t="str">
        <f t="shared" si="77"/>
        <v/>
      </c>
      <c r="AB113" s="15" t="str">
        <f t="shared" si="78"/>
        <v/>
      </c>
      <c r="AC113" s="15" t="str">
        <f t="shared" si="79"/>
        <v/>
      </c>
      <c r="AD113" s="16" t="str">
        <f t="shared" si="80"/>
        <v/>
      </c>
      <c r="AE113" s="14" t="str">
        <f t="shared" si="81"/>
        <v/>
      </c>
      <c r="AF113" s="15" t="str">
        <f t="shared" si="82"/>
        <v/>
      </c>
      <c r="AG113" s="15" t="str">
        <f t="shared" si="83"/>
        <v/>
      </c>
      <c r="AH113" s="32" t="str">
        <f t="shared" si="84"/>
        <v/>
      </c>
    </row>
    <row r="114" spans="1:34" x14ac:dyDescent="0.25">
      <c r="A114" s="54"/>
      <c r="B114" s="13"/>
      <c r="C114" s="9"/>
      <c r="D114" s="13"/>
      <c r="E114" s="20" t="str">
        <f t="shared" si="68"/>
        <v/>
      </c>
      <c r="F114" s="3" t="str">
        <f t="shared" si="69"/>
        <v/>
      </c>
      <c r="G114" s="22" t="str">
        <f t="shared" si="70"/>
        <v/>
      </c>
      <c r="I114" s="41" t="str">
        <f t="shared" si="71"/>
        <v/>
      </c>
      <c r="K114" s="45" t="str">
        <f t="shared" si="72"/>
        <v/>
      </c>
      <c r="M114" s="47" t="str">
        <f t="shared" si="73"/>
        <v/>
      </c>
      <c r="O114" s="50" t="str">
        <f t="shared" si="74"/>
        <v/>
      </c>
      <c r="Q114" s="26" t="str">
        <f t="shared" si="75"/>
        <v/>
      </c>
      <c r="R114" s="11" t="str">
        <f t="shared" si="62"/>
        <v/>
      </c>
      <c r="S114" s="11" t="str">
        <f t="shared" si="76"/>
        <v/>
      </c>
      <c r="T114" s="11" t="str">
        <f t="shared" si="67"/>
        <v/>
      </c>
      <c r="W114" s="31" t="str">
        <f t="shared" si="85"/>
        <v/>
      </c>
      <c r="X114" s="15" t="str">
        <f t="shared" si="86"/>
        <v/>
      </c>
      <c r="Y114" s="15" t="str">
        <f t="shared" si="87"/>
        <v/>
      </c>
      <c r="Z114" s="16" t="str">
        <f t="shared" si="88"/>
        <v/>
      </c>
      <c r="AA114" s="14" t="str">
        <f t="shared" si="77"/>
        <v/>
      </c>
      <c r="AB114" s="15" t="str">
        <f t="shared" si="78"/>
        <v/>
      </c>
      <c r="AC114" s="15" t="str">
        <f t="shared" si="79"/>
        <v/>
      </c>
      <c r="AD114" s="16" t="str">
        <f t="shared" si="80"/>
        <v/>
      </c>
      <c r="AE114" s="14" t="str">
        <f t="shared" si="81"/>
        <v/>
      </c>
      <c r="AF114" s="15" t="str">
        <f t="shared" si="82"/>
        <v/>
      </c>
      <c r="AG114" s="15" t="str">
        <f t="shared" si="83"/>
        <v/>
      </c>
      <c r="AH114" s="32" t="str">
        <f t="shared" si="84"/>
        <v/>
      </c>
    </row>
    <row r="115" spans="1:34" x14ac:dyDescent="0.25">
      <c r="A115" s="54"/>
      <c r="B115" s="13"/>
      <c r="C115" s="9"/>
      <c r="D115" s="13"/>
      <c r="E115" s="20" t="str">
        <f t="shared" si="68"/>
        <v/>
      </c>
      <c r="F115" s="3" t="str">
        <f t="shared" si="69"/>
        <v/>
      </c>
      <c r="G115" s="22" t="str">
        <f t="shared" si="70"/>
        <v/>
      </c>
      <c r="I115" s="41" t="str">
        <f t="shared" si="71"/>
        <v/>
      </c>
      <c r="K115" s="45" t="str">
        <f t="shared" si="72"/>
        <v/>
      </c>
      <c r="M115" s="47" t="str">
        <f t="shared" si="73"/>
        <v/>
      </c>
      <c r="O115" s="50" t="str">
        <f t="shared" si="74"/>
        <v/>
      </c>
      <c r="Q115" s="26" t="str">
        <f t="shared" si="75"/>
        <v/>
      </c>
      <c r="R115" s="11" t="str">
        <f t="shared" si="62"/>
        <v/>
      </c>
      <c r="S115" s="11" t="str">
        <f t="shared" si="76"/>
        <v/>
      </c>
      <c r="T115" s="11" t="str">
        <f t="shared" si="67"/>
        <v/>
      </c>
      <c r="W115" s="31" t="str">
        <f t="shared" si="85"/>
        <v/>
      </c>
      <c r="X115" s="15" t="str">
        <f t="shared" si="86"/>
        <v/>
      </c>
      <c r="Y115" s="15" t="str">
        <f t="shared" si="87"/>
        <v/>
      </c>
      <c r="Z115" s="16" t="str">
        <f t="shared" si="88"/>
        <v/>
      </c>
      <c r="AA115" s="14" t="str">
        <f t="shared" si="77"/>
        <v/>
      </c>
      <c r="AB115" s="15" t="str">
        <f t="shared" si="78"/>
        <v/>
      </c>
      <c r="AC115" s="15" t="str">
        <f t="shared" si="79"/>
        <v/>
      </c>
      <c r="AD115" s="16" t="str">
        <f t="shared" si="80"/>
        <v/>
      </c>
      <c r="AE115" s="14" t="str">
        <f t="shared" si="81"/>
        <v/>
      </c>
      <c r="AF115" s="15" t="str">
        <f t="shared" si="82"/>
        <v/>
      </c>
      <c r="AG115" s="15" t="str">
        <f t="shared" si="83"/>
        <v/>
      </c>
      <c r="AH115" s="32" t="str">
        <f t="shared" si="84"/>
        <v/>
      </c>
    </row>
    <row r="116" spans="1:34" x14ac:dyDescent="0.25">
      <c r="A116" s="54"/>
      <c r="B116" s="13"/>
      <c r="C116" s="9"/>
      <c r="D116" s="13"/>
      <c r="E116" s="20" t="str">
        <f t="shared" si="68"/>
        <v/>
      </c>
      <c r="F116" s="3" t="str">
        <f t="shared" si="69"/>
        <v/>
      </c>
      <c r="G116" s="22" t="str">
        <f t="shared" si="70"/>
        <v/>
      </c>
      <c r="I116" s="41" t="str">
        <f t="shared" si="71"/>
        <v/>
      </c>
      <c r="K116" s="45" t="str">
        <f t="shared" si="72"/>
        <v/>
      </c>
      <c r="M116" s="47" t="str">
        <f t="shared" si="73"/>
        <v/>
      </c>
      <c r="O116" s="50" t="str">
        <f t="shared" si="74"/>
        <v/>
      </c>
      <c r="Q116" s="26" t="str">
        <f t="shared" si="75"/>
        <v/>
      </c>
      <c r="R116" s="11" t="str">
        <f t="shared" si="62"/>
        <v/>
      </c>
      <c r="S116" s="11" t="str">
        <f t="shared" si="76"/>
        <v/>
      </c>
      <c r="T116" s="11" t="str">
        <f t="shared" si="67"/>
        <v/>
      </c>
      <c r="W116" s="31" t="str">
        <f t="shared" si="85"/>
        <v/>
      </c>
      <c r="X116" s="15" t="str">
        <f t="shared" si="86"/>
        <v/>
      </c>
      <c r="Y116" s="15" t="str">
        <f t="shared" si="87"/>
        <v/>
      </c>
      <c r="Z116" s="16" t="str">
        <f t="shared" si="88"/>
        <v/>
      </c>
      <c r="AA116" s="14" t="str">
        <f t="shared" si="77"/>
        <v/>
      </c>
      <c r="AB116" s="15" t="str">
        <f t="shared" si="78"/>
        <v/>
      </c>
      <c r="AC116" s="15" t="str">
        <f t="shared" si="79"/>
        <v/>
      </c>
      <c r="AD116" s="16" t="str">
        <f t="shared" si="80"/>
        <v/>
      </c>
      <c r="AE116" s="14" t="str">
        <f t="shared" si="81"/>
        <v/>
      </c>
      <c r="AF116" s="15" t="str">
        <f t="shared" si="82"/>
        <v/>
      </c>
      <c r="AG116" s="15" t="str">
        <f t="shared" si="83"/>
        <v/>
      </c>
      <c r="AH116" s="32" t="str">
        <f t="shared" si="84"/>
        <v/>
      </c>
    </row>
    <row r="117" spans="1:34" x14ac:dyDescent="0.25">
      <c r="A117" s="54"/>
      <c r="B117" s="13"/>
      <c r="C117" s="9"/>
      <c r="D117" s="13"/>
      <c r="E117" s="20" t="str">
        <f t="shared" si="68"/>
        <v/>
      </c>
      <c r="F117" s="3" t="str">
        <f t="shared" si="69"/>
        <v/>
      </c>
      <c r="G117" s="22" t="str">
        <f t="shared" si="70"/>
        <v/>
      </c>
      <c r="I117" s="41" t="str">
        <f t="shared" si="71"/>
        <v/>
      </c>
      <c r="K117" s="45" t="str">
        <f t="shared" si="72"/>
        <v/>
      </c>
      <c r="M117" s="47" t="str">
        <f t="shared" si="73"/>
        <v/>
      </c>
      <c r="O117" s="50" t="str">
        <f t="shared" si="74"/>
        <v/>
      </c>
      <c r="Q117" s="26" t="str">
        <f t="shared" si="75"/>
        <v/>
      </c>
      <c r="R117" s="11" t="str">
        <f t="shared" si="62"/>
        <v/>
      </c>
      <c r="S117" s="11" t="str">
        <f t="shared" si="76"/>
        <v/>
      </c>
      <c r="T117" s="11" t="str">
        <f t="shared" si="67"/>
        <v/>
      </c>
      <c r="W117" s="31" t="str">
        <f t="shared" si="85"/>
        <v/>
      </c>
      <c r="X117" s="15" t="str">
        <f t="shared" si="86"/>
        <v/>
      </c>
      <c r="Y117" s="15" t="str">
        <f t="shared" si="87"/>
        <v/>
      </c>
      <c r="Z117" s="16" t="str">
        <f t="shared" si="88"/>
        <v/>
      </c>
      <c r="AA117" s="14" t="str">
        <f t="shared" si="77"/>
        <v/>
      </c>
      <c r="AB117" s="15" t="str">
        <f t="shared" si="78"/>
        <v/>
      </c>
      <c r="AC117" s="15" t="str">
        <f t="shared" si="79"/>
        <v/>
      </c>
      <c r="AD117" s="16" t="str">
        <f t="shared" si="80"/>
        <v/>
      </c>
      <c r="AE117" s="14" t="str">
        <f t="shared" si="81"/>
        <v/>
      </c>
      <c r="AF117" s="15" t="str">
        <f t="shared" si="82"/>
        <v/>
      </c>
      <c r="AG117" s="15" t="str">
        <f t="shared" si="83"/>
        <v/>
      </c>
      <c r="AH117" s="32" t="str">
        <f t="shared" si="84"/>
        <v/>
      </c>
    </row>
    <row r="118" spans="1:34" x14ac:dyDescent="0.25">
      <c r="A118" s="54"/>
      <c r="B118" s="13"/>
      <c r="C118" s="9"/>
      <c r="D118" s="13"/>
      <c r="E118" s="20" t="str">
        <f t="shared" si="68"/>
        <v/>
      </c>
      <c r="F118" s="3" t="str">
        <f t="shared" si="69"/>
        <v/>
      </c>
      <c r="G118" s="22" t="str">
        <f t="shared" si="70"/>
        <v/>
      </c>
      <c r="I118" s="41" t="str">
        <f t="shared" si="71"/>
        <v/>
      </c>
      <c r="K118" s="45" t="str">
        <f t="shared" si="72"/>
        <v/>
      </c>
      <c r="M118" s="47" t="str">
        <f t="shared" si="73"/>
        <v/>
      </c>
      <c r="O118" s="50" t="str">
        <f t="shared" si="74"/>
        <v/>
      </c>
      <c r="Q118" s="26" t="str">
        <f t="shared" si="75"/>
        <v/>
      </c>
      <c r="R118" s="11" t="str">
        <f t="shared" si="62"/>
        <v/>
      </c>
      <c r="S118" s="11" t="str">
        <f t="shared" si="76"/>
        <v/>
      </c>
      <c r="T118" s="11" t="str">
        <f t="shared" si="67"/>
        <v/>
      </c>
      <c r="W118" s="31" t="str">
        <f t="shared" si="85"/>
        <v/>
      </c>
      <c r="X118" s="15" t="str">
        <f t="shared" si="86"/>
        <v/>
      </c>
      <c r="Y118" s="15" t="str">
        <f t="shared" si="87"/>
        <v/>
      </c>
      <c r="Z118" s="16" t="str">
        <f t="shared" si="88"/>
        <v/>
      </c>
      <c r="AA118" s="14" t="str">
        <f t="shared" si="77"/>
        <v/>
      </c>
      <c r="AB118" s="15" t="str">
        <f t="shared" si="78"/>
        <v/>
      </c>
      <c r="AC118" s="15" t="str">
        <f t="shared" si="79"/>
        <v/>
      </c>
      <c r="AD118" s="16" t="str">
        <f t="shared" si="80"/>
        <v/>
      </c>
      <c r="AE118" s="14" t="str">
        <f t="shared" si="81"/>
        <v/>
      </c>
      <c r="AF118" s="15" t="str">
        <f t="shared" si="82"/>
        <v/>
      </c>
      <c r="AG118" s="15" t="str">
        <f t="shared" si="83"/>
        <v/>
      </c>
      <c r="AH118" s="32" t="str">
        <f t="shared" si="84"/>
        <v/>
      </c>
    </row>
    <row r="119" spans="1:34" x14ac:dyDescent="0.25">
      <c r="A119" s="54"/>
      <c r="B119" s="13"/>
      <c r="C119" s="9"/>
      <c r="D119" s="13"/>
      <c r="E119" s="20" t="str">
        <f t="shared" si="68"/>
        <v/>
      </c>
      <c r="F119" s="3" t="str">
        <f t="shared" si="69"/>
        <v/>
      </c>
      <c r="G119" s="22" t="str">
        <f t="shared" si="70"/>
        <v/>
      </c>
      <c r="I119" s="41" t="str">
        <f t="shared" si="71"/>
        <v/>
      </c>
      <c r="K119" s="45" t="str">
        <f t="shared" si="72"/>
        <v/>
      </c>
      <c r="M119" s="47" t="str">
        <f t="shared" si="73"/>
        <v/>
      </c>
      <c r="O119" s="50" t="str">
        <f t="shared" si="74"/>
        <v/>
      </c>
      <c r="Q119" s="26" t="str">
        <f t="shared" si="75"/>
        <v/>
      </c>
      <c r="R119" s="11" t="str">
        <f t="shared" si="62"/>
        <v/>
      </c>
      <c r="S119" s="11" t="str">
        <f t="shared" si="76"/>
        <v/>
      </c>
      <c r="T119" s="11" t="str">
        <f t="shared" si="67"/>
        <v/>
      </c>
      <c r="W119" s="31" t="str">
        <f t="shared" si="85"/>
        <v/>
      </c>
      <c r="X119" s="15" t="str">
        <f t="shared" si="86"/>
        <v/>
      </c>
      <c r="Y119" s="15" t="str">
        <f t="shared" si="87"/>
        <v/>
      </c>
      <c r="Z119" s="16" t="str">
        <f t="shared" si="88"/>
        <v/>
      </c>
      <c r="AA119" s="14" t="str">
        <f t="shared" si="77"/>
        <v/>
      </c>
      <c r="AB119" s="15" t="str">
        <f t="shared" si="78"/>
        <v/>
      </c>
      <c r="AC119" s="15" t="str">
        <f t="shared" si="79"/>
        <v/>
      </c>
      <c r="AD119" s="16" t="str">
        <f t="shared" si="80"/>
        <v/>
      </c>
      <c r="AE119" s="14" t="str">
        <f t="shared" si="81"/>
        <v/>
      </c>
      <c r="AF119" s="15" t="str">
        <f t="shared" si="82"/>
        <v/>
      </c>
      <c r="AG119" s="15" t="str">
        <f t="shared" si="83"/>
        <v/>
      </c>
      <c r="AH119" s="32" t="str">
        <f t="shared" si="84"/>
        <v/>
      </c>
    </row>
    <row r="120" spans="1:34" x14ac:dyDescent="0.25">
      <c r="A120" s="54"/>
      <c r="B120" s="13"/>
      <c r="C120" s="9"/>
      <c r="D120" s="13"/>
      <c r="E120" s="20" t="str">
        <f t="shared" si="68"/>
        <v/>
      </c>
      <c r="F120" s="3" t="str">
        <f t="shared" si="69"/>
        <v/>
      </c>
      <c r="G120" s="22" t="str">
        <f t="shared" si="70"/>
        <v/>
      </c>
      <c r="I120" s="41" t="str">
        <f t="shared" si="71"/>
        <v/>
      </c>
      <c r="K120" s="45" t="str">
        <f t="shared" si="72"/>
        <v/>
      </c>
      <c r="M120" s="47" t="str">
        <f t="shared" si="73"/>
        <v/>
      </c>
      <c r="O120" s="50" t="str">
        <f t="shared" si="74"/>
        <v/>
      </c>
      <c r="Q120" s="26" t="str">
        <f t="shared" si="75"/>
        <v/>
      </c>
      <c r="R120" s="11" t="str">
        <f t="shared" si="62"/>
        <v/>
      </c>
      <c r="S120" s="11" t="str">
        <f t="shared" si="76"/>
        <v/>
      </c>
      <c r="T120" s="11" t="str">
        <f t="shared" si="67"/>
        <v/>
      </c>
      <c r="W120" s="31" t="str">
        <f t="shared" si="85"/>
        <v/>
      </c>
      <c r="X120" s="15" t="str">
        <f t="shared" si="86"/>
        <v/>
      </c>
      <c r="Y120" s="15" t="str">
        <f t="shared" si="87"/>
        <v/>
      </c>
      <c r="Z120" s="16" t="str">
        <f t="shared" si="88"/>
        <v/>
      </c>
      <c r="AA120" s="14" t="str">
        <f t="shared" si="77"/>
        <v/>
      </c>
      <c r="AB120" s="15" t="str">
        <f t="shared" si="78"/>
        <v/>
      </c>
      <c r="AC120" s="15" t="str">
        <f t="shared" si="79"/>
        <v/>
      </c>
      <c r="AD120" s="16" t="str">
        <f t="shared" si="80"/>
        <v/>
      </c>
      <c r="AE120" s="14" t="str">
        <f t="shared" si="81"/>
        <v/>
      </c>
      <c r="AF120" s="15" t="str">
        <f t="shared" si="82"/>
        <v/>
      </c>
      <c r="AG120" s="15" t="str">
        <f t="shared" si="83"/>
        <v/>
      </c>
      <c r="AH120" s="32" t="str">
        <f t="shared" si="84"/>
        <v/>
      </c>
    </row>
    <row r="121" spans="1:34" x14ac:dyDescent="0.25">
      <c r="A121" s="54"/>
      <c r="B121" s="13"/>
      <c r="C121" s="9"/>
      <c r="D121" s="13"/>
      <c r="E121" s="20" t="str">
        <f t="shared" si="68"/>
        <v/>
      </c>
      <c r="F121" s="3" t="str">
        <f t="shared" si="69"/>
        <v/>
      </c>
      <c r="G121" s="22" t="str">
        <f t="shared" si="70"/>
        <v/>
      </c>
      <c r="I121" s="41" t="str">
        <f t="shared" si="71"/>
        <v/>
      </c>
      <c r="K121" s="45" t="str">
        <f t="shared" si="72"/>
        <v/>
      </c>
      <c r="M121" s="47" t="str">
        <f t="shared" si="73"/>
        <v/>
      </c>
      <c r="O121" s="50" t="str">
        <f t="shared" si="74"/>
        <v/>
      </c>
      <c r="Q121" s="26" t="str">
        <f t="shared" si="75"/>
        <v/>
      </c>
      <c r="R121" s="11" t="str">
        <f t="shared" si="62"/>
        <v/>
      </c>
      <c r="S121" s="11" t="str">
        <f t="shared" si="76"/>
        <v/>
      </c>
      <c r="T121" s="11" t="str">
        <f t="shared" si="67"/>
        <v/>
      </c>
      <c r="W121" s="31" t="str">
        <f t="shared" si="85"/>
        <v/>
      </c>
      <c r="X121" s="15" t="str">
        <f t="shared" si="86"/>
        <v/>
      </c>
      <c r="Y121" s="15" t="str">
        <f t="shared" si="87"/>
        <v/>
      </c>
      <c r="Z121" s="16" t="str">
        <f t="shared" si="88"/>
        <v/>
      </c>
      <c r="AA121" s="14" t="str">
        <f t="shared" si="77"/>
        <v/>
      </c>
      <c r="AB121" s="15" t="str">
        <f t="shared" si="78"/>
        <v/>
      </c>
      <c r="AC121" s="15" t="str">
        <f t="shared" si="79"/>
        <v/>
      </c>
      <c r="AD121" s="16" t="str">
        <f t="shared" si="80"/>
        <v/>
      </c>
      <c r="AE121" s="14" t="str">
        <f t="shared" si="81"/>
        <v/>
      </c>
      <c r="AF121" s="15" t="str">
        <f t="shared" si="82"/>
        <v/>
      </c>
      <c r="AG121" s="15" t="str">
        <f t="shared" si="83"/>
        <v/>
      </c>
      <c r="AH121" s="32" t="str">
        <f t="shared" si="84"/>
        <v/>
      </c>
    </row>
    <row r="122" spans="1:34" x14ac:dyDescent="0.25">
      <c r="A122" s="54"/>
      <c r="B122" s="13"/>
      <c r="C122" s="9"/>
      <c r="D122" s="13"/>
      <c r="E122" s="20" t="str">
        <f t="shared" si="68"/>
        <v/>
      </c>
      <c r="F122" s="3" t="str">
        <f t="shared" si="69"/>
        <v/>
      </c>
      <c r="G122" s="22" t="str">
        <f t="shared" si="70"/>
        <v/>
      </c>
      <c r="I122" s="41" t="str">
        <f t="shared" si="71"/>
        <v/>
      </c>
      <c r="K122" s="45" t="str">
        <f t="shared" si="72"/>
        <v/>
      </c>
      <c r="M122" s="47" t="str">
        <f t="shared" si="73"/>
        <v/>
      </c>
      <c r="O122" s="50" t="str">
        <f t="shared" si="74"/>
        <v/>
      </c>
      <c r="Q122" s="26" t="str">
        <f t="shared" si="75"/>
        <v/>
      </c>
      <c r="R122" s="11" t="str">
        <f t="shared" si="62"/>
        <v/>
      </c>
      <c r="S122" s="11" t="str">
        <f t="shared" si="76"/>
        <v/>
      </c>
      <c r="T122" s="11" t="str">
        <f t="shared" si="67"/>
        <v/>
      </c>
      <c r="W122" s="31" t="str">
        <f t="shared" si="85"/>
        <v/>
      </c>
      <c r="X122" s="15" t="str">
        <f t="shared" si="86"/>
        <v/>
      </c>
      <c r="Y122" s="15" t="str">
        <f t="shared" si="87"/>
        <v/>
      </c>
      <c r="Z122" s="16" t="str">
        <f t="shared" si="88"/>
        <v/>
      </c>
      <c r="AA122" s="14" t="str">
        <f t="shared" si="77"/>
        <v/>
      </c>
      <c r="AB122" s="15" t="str">
        <f t="shared" si="78"/>
        <v/>
      </c>
      <c r="AC122" s="15" t="str">
        <f t="shared" si="79"/>
        <v/>
      </c>
      <c r="AD122" s="16" t="str">
        <f t="shared" si="80"/>
        <v/>
      </c>
      <c r="AE122" s="14" t="str">
        <f t="shared" si="81"/>
        <v/>
      </c>
      <c r="AF122" s="15" t="str">
        <f t="shared" si="82"/>
        <v/>
      </c>
      <c r="AG122" s="15" t="str">
        <f t="shared" si="83"/>
        <v/>
      </c>
      <c r="AH122" s="32" t="str">
        <f t="shared" si="84"/>
        <v/>
      </c>
    </row>
    <row r="123" spans="1:34" x14ac:dyDescent="0.25">
      <c r="A123" s="54"/>
      <c r="B123" s="13"/>
      <c r="C123" s="9"/>
      <c r="D123" s="13"/>
      <c r="E123" s="20" t="str">
        <f t="shared" si="68"/>
        <v/>
      </c>
      <c r="F123" s="3" t="str">
        <f t="shared" si="69"/>
        <v/>
      </c>
      <c r="G123" s="22" t="str">
        <f t="shared" si="70"/>
        <v/>
      </c>
      <c r="I123" s="41" t="str">
        <f t="shared" si="71"/>
        <v/>
      </c>
      <c r="K123" s="45" t="str">
        <f t="shared" si="72"/>
        <v/>
      </c>
      <c r="M123" s="47" t="str">
        <f t="shared" si="73"/>
        <v/>
      </c>
      <c r="O123" s="50" t="str">
        <f t="shared" si="74"/>
        <v/>
      </c>
      <c r="Q123" s="26" t="str">
        <f t="shared" si="75"/>
        <v/>
      </c>
      <c r="R123" s="11" t="str">
        <f t="shared" si="62"/>
        <v/>
      </c>
      <c r="S123" s="11" t="str">
        <f t="shared" si="76"/>
        <v/>
      </c>
      <c r="T123" s="11" t="str">
        <f t="shared" si="67"/>
        <v/>
      </c>
      <c r="W123" s="31" t="str">
        <f t="shared" si="85"/>
        <v/>
      </c>
      <c r="X123" s="15" t="str">
        <f t="shared" si="86"/>
        <v/>
      </c>
      <c r="Y123" s="15" t="str">
        <f t="shared" si="87"/>
        <v/>
      </c>
      <c r="Z123" s="16" t="str">
        <f t="shared" si="88"/>
        <v/>
      </c>
      <c r="AA123" s="14" t="str">
        <f t="shared" si="77"/>
        <v/>
      </c>
      <c r="AB123" s="15" t="str">
        <f t="shared" si="78"/>
        <v/>
      </c>
      <c r="AC123" s="15" t="str">
        <f t="shared" si="79"/>
        <v/>
      </c>
      <c r="AD123" s="16" t="str">
        <f t="shared" si="80"/>
        <v/>
      </c>
      <c r="AE123" s="14" t="str">
        <f t="shared" si="81"/>
        <v/>
      </c>
      <c r="AF123" s="15" t="str">
        <f t="shared" si="82"/>
        <v/>
      </c>
      <c r="AG123" s="15" t="str">
        <f t="shared" si="83"/>
        <v/>
      </c>
      <c r="AH123" s="32" t="str">
        <f t="shared" si="84"/>
        <v/>
      </c>
    </row>
    <row r="124" spans="1:34" x14ac:dyDescent="0.25">
      <c r="A124" s="54"/>
      <c r="B124" s="13"/>
      <c r="C124" s="9"/>
      <c r="D124" s="13"/>
      <c r="E124" s="20" t="str">
        <f t="shared" si="68"/>
        <v/>
      </c>
      <c r="F124" s="3" t="str">
        <f t="shared" si="69"/>
        <v/>
      </c>
      <c r="G124" s="22" t="str">
        <f t="shared" si="70"/>
        <v/>
      </c>
      <c r="I124" s="41" t="str">
        <f t="shared" si="71"/>
        <v/>
      </c>
      <c r="K124" s="45" t="str">
        <f t="shared" si="72"/>
        <v/>
      </c>
      <c r="M124" s="47" t="str">
        <f t="shared" si="73"/>
        <v/>
      </c>
      <c r="O124" s="50" t="str">
        <f t="shared" si="74"/>
        <v/>
      </c>
      <c r="Q124" s="26" t="str">
        <f t="shared" si="75"/>
        <v/>
      </c>
      <c r="R124" s="11" t="str">
        <f t="shared" si="62"/>
        <v/>
      </c>
      <c r="S124" s="11" t="str">
        <f t="shared" si="76"/>
        <v/>
      </c>
      <c r="T124" s="11" t="str">
        <f t="shared" si="67"/>
        <v/>
      </c>
      <c r="W124" s="31" t="str">
        <f t="shared" si="85"/>
        <v/>
      </c>
      <c r="X124" s="15" t="str">
        <f t="shared" si="86"/>
        <v/>
      </c>
      <c r="Y124" s="15" t="str">
        <f t="shared" si="87"/>
        <v/>
      </c>
      <c r="Z124" s="16" t="str">
        <f t="shared" si="88"/>
        <v/>
      </c>
      <c r="AA124" s="14" t="str">
        <f t="shared" si="77"/>
        <v/>
      </c>
      <c r="AB124" s="15" t="str">
        <f t="shared" si="78"/>
        <v/>
      </c>
      <c r="AC124" s="15" t="str">
        <f t="shared" si="79"/>
        <v/>
      </c>
      <c r="AD124" s="16" t="str">
        <f t="shared" si="80"/>
        <v/>
      </c>
      <c r="AE124" s="14" t="str">
        <f t="shared" si="81"/>
        <v/>
      </c>
      <c r="AF124" s="15" t="str">
        <f t="shared" si="82"/>
        <v/>
      </c>
      <c r="AG124" s="15" t="str">
        <f t="shared" si="83"/>
        <v/>
      </c>
      <c r="AH124" s="32" t="str">
        <f t="shared" si="84"/>
        <v/>
      </c>
    </row>
    <row r="125" spans="1:34" ht="15.75" thickBot="1" x14ac:dyDescent="0.3">
      <c r="A125" s="54"/>
      <c r="B125" s="13"/>
      <c r="C125" s="9"/>
      <c r="D125" s="13"/>
      <c r="E125" s="21" t="str">
        <f t="shared" si="68"/>
        <v/>
      </c>
      <c r="F125" s="3" t="str">
        <f t="shared" si="69"/>
        <v/>
      </c>
      <c r="G125" s="43" t="str">
        <f t="shared" si="70"/>
        <v/>
      </c>
      <c r="I125" s="42" t="str">
        <f t="shared" si="71"/>
        <v/>
      </c>
      <c r="K125" s="44" t="str">
        <f t="shared" si="72"/>
        <v/>
      </c>
      <c r="M125" s="48" t="str">
        <f t="shared" si="73"/>
        <v/>
      </c>
      <c r="O125" s="51" t="str">
        <f t="shared" si="74"/>
        <v/>
      </c>
      <c r="Q125" s="26" t="str">
        <f t="shared" si="75"/>
        <v/>
      </c>
      <c r="R125" s="11" t="str">
        <f t="shared" si="62"/>
        <v/>
      </c>
      <c r="S125" s="11" t="str">
        <f t="shared" si="76"/>
        <v/>
      </c>
      <c r="T125" s="11" t="str">
        <f t="shared" si="67"/>
        <v/>
      </c>
      <c r="W125" s="33" t="str">
        <f t="shared" si="85"/>
        <v/>
      </c>
      <c r="X125" s="34" t="str">
        <f t="shared" si="86"/>
        <v/>
      </c>
      <c r="Y125" s="34" t="str">
        <f t="shared" si="87"/>
        <v/>
      </c>
      <c r="Z125" s="35" t="str">
        <f t="shared" si="88"/>
        <v/>
      </c>
      <c r="AA125" s="36" t="str">
        <f t="shared" si="77"/>
        <v/>
      </c>
      <c r="AB125" s="34" t="str">
        <f t="shared" si="78"/>
        <v/>
      </c>
      <c r="AC125" s="34" t="str">
        <f t="shared" si="79"/>
        <v/>
      </c>
      <c r="AD125" s="35" t="str">
        <f t="shared" si="80"/>
        <v/>
      </c>
      <c r="AE125" s="36" t="str">
        <f t="shared" si="81"/>
        <v/>
      </c>
      <c r="AF125" s="34" t="str">
        <f t="shared" si="82"/>
        <v/>
      </c>
      <c r="AG125" s="34" t="str">
        <f t="shared" si="83"/>
        <v/>
      </c>
      <c r="AH125" s="37" t="str">
        <f t="shared" si="84"/>
        <v/>
      </c>
    </row>
    <row r="126" spans="1:34" x14ac:dyDescent="0.25">
      <c r="G126" s="1"/>
    </row>
  </sheetData>
  <sheetProtection sheet="1" objects="1" scenarios="1"/>
  <mergeCells count="6">
    <mergeCell ref="W4:Z4"/>
    <mergeCell ref="AA4:AD4"/>
    <mergeCell ref="AE4:AH4"/>
    <mergeCell ref="W2:Z2"/>
    <mergeCell ref="A2:I2"/>
    <mergeCell ref="A3:I3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E7FAE-BC83-4386-8895-F73841DAF67D}">
  <sheetPr codeName="Sheet3"/>
  <dimension ref="A1:E15"/>
  <sheetViews>
    <sheetView tabSelected="1" workbookViewId="0">
      <selection activeCell="A13" sqref="A13:E13"/>
    </sheetView>
  </sheetViews>
  <sheetFormatPr defaultRowHeight="15" x14ac:dyDescent="0.25"/>
  <sheetData>
    <row r="1" spans="1:5" x14ac:dyDescent="0.25">
      <c r="A1" s="66" t="s">
        <v>22</v>
      </c>
      <c r="B1" s="66"/>
      <c r="C1" s="66"/>
      <c r="D1" s="66"/>
      <c r="E1" s="66"/>
    </row>
    <row r="2" spans="1:5" x14ac:dyDescent="0.25">
      <c r="A2" s="67" t="s">
        <v>23</v>
      </c>
      <c r="B2" s="67"/>
      <c r="C2" s="67"/>
      <c r="D2" s="67"/>
      <c r="E2" s="67"/>
    </row>
    <row r="3" spans="1:5" x14ac:dyDescent="0.25">
      <c r="A3" s="67" t="s">
        <v>24</v>
      </c>
      <c r="B3" s="67"/>
      <c r="C3" s="67"/>
      <c r="D3" s="67"/>
      <c r="E3" s="67"/>
    </row>
    <row r="4" spans="1:5" x14ac:dyDescent="0.25">
      <c r="A4" s="66"/>
      <c r="B4" s="66"/>
      <c r="C4" s="66"/>
      <c r="D4" s="66"/>
      <c r="E4" s="66"/>
    </row>
    <row r="5" spans="1:5" x14ac:dyDescent="0.25">
      <c r="A5" s="67" t="s">
        <v>25</v>
      </c>
      <c r="B5" s="67"/>
      <c r="C5" s="67"/>
      <c r="D5" s="67"/>
      <c r="E5" s="67"/>
    </row>
    <row r="6" spans="1:5" x14ac:dyDescent="0.25">
      <c r="A6" s="67" t="s">
        <v>30</v>
      </c>
      <c r="B6" s="67"/>
      <c r="C6" s="67"/>
      <c r="D6" s="67"/>
      <c r="E6" s="67"/>
    </row>
    <row r="7" spans="1:5" x14ac:dyDescent="0.25">
      <c r="A7" s="67" t="s">
        <v>26</v>
      </c>
      <c r="B7" s="67"/>
      <c r="C7" s="67"/>
      <c r="D7" s="67"/>
      <c r="E7" s="67"/>
    </row>
    <row r="8" spans="1:5" x14ac:dyDescent="0.25">
      <c r="A8" s="66"/>
      <c r="B8" s="66"/>
      <c r="C8" s="66"/>
      <c r="D8" s="66"/>
      <c r="E8" s="66"/>
    </row>
    <row r="9" spans="1:5" x14ac:dyDescent="0.25">
      <c r="A9" s="67" t="s">
        <v>27</v>
      </c>
      <c r="B9" s="67"/>
      <c r="C9" s="67"/>
      <c r="D9" s="67"/>
      <c r="E9" s="67"/>
    </row>
    <row r="10" spans="1:5" x14ac:dyDescent="0.25">
      <c r="A10" s="67" t="s">
        <v>31</v>
      </c>
      <c r="B10" s="67"/>
      <c r="C10" s="67"/>
      <c r="D10" s="67"/>
      <c r="E10" s="67"/>
    </row>
    <row r="11" spans="1:5" x14ac:dyDescent="0.25">
      <c r="A11" s="67" t="s">
        <v>28</v>
      </c>
      <c r="B11" s="67"/>
      <c r="C11" s="67"/>
      <c r="D11" s="67"/>
      <c r="E11" s="67"/>
    </row>
    <row r="12" spans="1:5" x14ac:dyDescent="0.25">
      <c r="A12" s="67" t="s">
        <v>29</v>
      </c>
      <c r="B12" s="67"/>
      <c r="C12" s="67"/>
      <c r="D12" s="67"/>
      <c r="E12" s="67"/>
    </row>
    <row r="13" spans="1:5" x14ac:dyDescent="0.25">
      <c r="A13" s="67" t="s">
        <v>26</v>
      </c>
      <c r="B13" s="67"/>
      <c r="C13" s="67"/>
      <c r="D13" s="67"/>
      <c r="E13" s="67"/>
    </row>
    <row r="14" spans="1:5" x14ac:dyDescent="0.25">
      <c r="A14" s="66"/>
      <c r="B14" s="66"/>
      <c r="C14" s="66"/>
      <c r="D14" s="66"/>
      <c r="E14" s="66"/>
    </row>
    <row r="15" spans="1:5" x14ac:dyDescent="0.25">
      <c r="A15" s="67" t="s">
        <v>32</v>
      </c>
      <c r="B15" s="67"/>
      <c r="C15" s="67"/>
      <c r="D15" s="67"/>
      <c r="E15" s="67"/>
    </row>
  </sheetData>
  <mergeCells count="15">
    <mergeCell ref="A4:E4"/>
    <mergeCell ref="A3:E3"/>
    <mergeCell ref="A2:E2"/>
    <mergeCell ref="A1:E1"/>
    <mergeCell ref="A13:E13"/>
    <mergeCell ref="A15:E15"/>
    <mergeCell ref="A14:E14"/>
    <mergeCell ref="A12:E12"/>
    <mergeCell ref="A11:E11"/>
    <mergeCell ref="A10:E10"/>
    <mergeCell ref="A9:E9"/>
    <mergeCell ref="A8:E8"/>
    <mergeCell ref="A7:E7"/>
    <mergeCell ref="A6:E6"/>
    <mergeCell ref="A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CISCO IP Master</vt:lpstr>
      <vt:lpstr>CISCO CLI 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aldrinjohnolaermanalansan@gmail.com</dc:creator>
  <cp:lastModifiedBy>acer</cp:lastModifiedBy>
  <dcterms:created xsi:type="dcterms:W3CDTF">2019-08-05T11:37:35Z</dcterms:created>
  <dcterms:modified xsi:type="dcterms:W3CDTF">2019-09-20T14:01:54Z</dcterms:modified>
</cp:coreProperties>
</file>